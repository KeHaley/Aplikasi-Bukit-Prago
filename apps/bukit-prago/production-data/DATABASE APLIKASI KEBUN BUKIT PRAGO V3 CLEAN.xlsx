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X_PENJUALAN" sheetId="1" r:id="rId5"/>
    <sheet state="visible" name="TARGET_PRODUKSI" sheetId="2" r:id="rId6"/>
    <sheet state="visible" name="ARCHIVE_TARGET_PRODUKSI" sheetId="3" r:id="rId7"/>
    <sheet state="visible" name="YEAR_STATUS" sheetId="4" r:id="rId8"/>
    <sheet state="visible" name="SOURCE_2026_RAW" sheetId="5" r:id="rId9"/>
    <sheet state="visible" name="TX_BIAYA" sheetId="6" r:id="rId10"/>
    <sheet state="visible" name="TX_KAS" sheetId="7" r:id="rId11"/>
    <sheet state="visible" name="TX_PEMUPUKAN" sheetId="8" r:id="rId12"/>
    <sheet state="visible" name="STAGING_2024_PENJUALAN" sheetId="9" r:id="rId13"/>
    <sheet state="visible" name="STAGING_2024_BIAYA" sheetId="10" r:id="rId14"/>
    <sheet state="visible" name="STAGING_2024_KAS" sheetId="11" r:id="rId15"/>
    <sheet state="visible" name="STAGING_2024_PEMUPUKAN" sheetId="12" r:id="rId16"/>
    <sheet state="visible" name="ARCHIVE_PENJUALAN" sheetId="13" r:id="rId17"/>
    <sheet state="visible" name="ARCHIVE_BIAYA" sheetId="14" r:id="rId18"/>
    <sheet state="visible" name="ARCHIVE_KAS" sheetId="15" r:id="rId19"/>
    <sheet state="visible" name="STAGING_PENJUALAN_ARCHIVE" sheetId="16" r:id="rId20"/>
    <sheet state="visible" name="STAGING_BIAYA_ARCHIVE" sheetId="17" r:id="rId21"/>
    <sheet state="visible" name="STAGING_PEMUPUKAN_ARCHIVE" sheetId="18" r:id="rId22"/>
    <sheet state="visible" name="STAGING_KAS_ARCHIVE" sheetId="19" r:id="rId23"/>
    <sheet state="visible" name="ARCHIVE_PEMUPUKAN" sheetId="20" r:id="rId24"/>
    <sheet state="visible" name="MASTER_TARGET" sheetId="21" r:id="rId25"/>
    <sheet state="visible" name="MASTER_PUPUK" sheetId="22" r:id="rId26"/>
    <sheet state="visible" name="MONTH_STATUS" sheetId="23" r:id="rId27"/>
    <sheet state="visible" name="APP_CONFIG" sheetId="24" r:id="rId28"/>
    <sheet state="visible" name="LOG_AKTIVITAS" sheetId="25" r:id="rId29"/>
    <sheet state="visible" name="Copy of harian" sheetId="26" r:id="rId30"/>
    <sheet state="hidden" name="BACKUP_TX_PENJUALAN_BEFORE_IMPO" sheetId="27" r:id="rId31"/>
    <sheet state="hidden" name="BACKUP_TX_BIAYA_BEFORE_IMPORT_2" sheetId="28" r:id="rId32"/>
    <sheet state="hidden" name="BACKUP_TX_KAS_BEFORE_IMPORT_202" sheetId="29" r:id="rId33"/>
    <sheet state="hidden" name="BACKUP_TX_PEMUPUKAN_BEFORE_IMPO" sheetId="30" r:id="rId34"/>
    <sheet state="hidden" name="BACKUP_ARCHIVE_PENJUALAN_2025_2" sheetId="31" r:id="rId35"/>
    <sheet state="hidden" name="BACKUP_ARCHIVE_BIAYA_2025_20260" sheetId="32" r:id="rId36"/>
    <sheet state="hidden" name="BACKUP_ARCHIVE_KAS_2025_2026061" sheetId="33" r:id="rId37"/>
    <sheet state="hidden" name="BACKUP_ARCHIVE_PEMUPUKAN_2025_2" sheetId="34" r:id="rId38"/>
  </sheets>
  <definedNames>
    <definedName hidden="1" localSheetId="0" name="_xlnm._FilterDatabase">TX_PENJUALAN!$A$1:$O$65</definedName>
    <definedName hidden="1" localSheetId="3" name="_xlnm._FilterDatabase">YEAR_STATUS!$A$1:$L$2</definedName>
    <definedName hidden="1" localSheetId="4" name="_xlnm._FilterDatabase">SOURCE_2026_RAW!$A$1:$L$432</definedName>
    <definedName hidden="1" localSheetId="5" name="_xlnm._FilterDatabase">TX_BIAYA!$A$1:$O$177</definedName>
    <definedName hidden="1" localSheetId="6" name="_xlnm._FilterDatabase">TX_KAS!$A$1:$P$40</definedName>
    <definedName hidden="1" localSheetId="7" name="_xlnm._FilterDatabase">TX_PEMUPUKAN!$A$1:$Q$9</definedName>
    <definedName hidden="1" localSheetId="8" name="_xlnm._FilterDatabase">STAGING_2024_PENJUALAN!$A$1:$G$76</definedName>
    <definedName hidden="1" localSheetId="9" name="_xlnm._FilterDatabase">STAGING_2024_BIAYA!$A$1:$G$193</definedName>
    <definedName hidden="1" localSheetId="10" name="_xlnm._FilterDatabase">STAGING_2024_KAS!$A$1:$H$1</definedName>
    <definedName hidden="1" localSheetId="11" name="_xlnm._FilterDatabase">STAGING_2024_PEMUPUKAN!$A$1:$I$1</definedName>
    <definedName hidden="1" localSheetId="12" name="_xlnm._FilterDatabase">ARCHIVE_PENJUALAN!$A$1:$U$100</definedName>
    <definedName hidden="1" localSheetId="13" name="_xlnm._FilterDatabase">ARCHIVE_BIAYA!$A$1:$U$494</definedName>
    <definedName hidden="1" localSheetId="14" name="_xlnm._FilterDatabase">ARCHIVE_KAS!$A$1:$V$39</definedName>
    <definedName hidden="1" localSheetId="15" name="_xlnm._FilterDatabase">STAGING_PENJUALAN_ARCHIVE!$A$1:$K$25</definedName>
    <definedName hidden="1" localSheetId="16" name="_xlnm._FilterDatabase">STAGING_BIAYA_ARCHIVE!$A$1:$K$302</definedName>
    <definedName hidden="1" localSheetId="17" name="_xlnm._FilterDatabase">STAGING_PEMUPUKAN_ARCHIVE!$A$1:$N$11</definedName>
    <definedName hidden="1" localSheetId="18" name="_xlnm._FilterDatabase">STAGING_KAS_ARCHIVE!$A$1:$L$39</definedName>
    <definedName hidden="1" localSheetId="19" name="_xlnm._FilterDatabase">ARCHIVE_PEMUPUKAN!$A$1:$X$11</definedName>
    <definedName hidden="1" localSheetId="20" name="_xlnm._FilterDatabase">MASTER_TARGET!$A$1:$E$1</definedName>
    <definedName hidden="1" localSheetId="21" name="_xlnm._FilterDatabase">MASTER_PUPUK!$A$1:$E$1</definedName>
    <definedName hidden="1" localSheetId="22" name="_xlnm._FilterDatabase">MONTH_STATUS!$A$1:$H$13</definedName>
    <definedName hidden="1" localSheetId="23" name="_xlnm._FilterDatabase">APP_CONFIG!$A$1:$D$9</definedName>
    <definedName hidden="1" localSheetId="24" name="_xlnm._FilterDatabase">LOG_AKTIVITAS!$A$1:$E$127</definedName>
    <definedName hidden="1" localSheetId="25" name="_xlnm._FilterDatabase">'Copy of harian'!$A$1:$L$432</definedName>
    <definedName hidden="1" localSheetId="26" name="_xlnm._FilterDatabase">BACKUP_TX_PENJUALAN_BEFORE_IMPO!$A$1:$M$1</definedName>
    <definedName hidden="1" localSheetId="27" name="_xlnm._FilterDatabase">BACKUP_TX_BIAYA_BEFORE_IMPORT_2!$A$1:$M$1</definedName>
    <definedName hidden="1" localSheetId="28" name="_xlnm._FilterDatabase">BACKUP_TX_KAS_BEFORE_IMPORT_202!$A$1:$N$1</definedName>
    <definedName hidden="1" localSheetId="29" name="_xlnm._FilterDatabase">BACKUP_TX_PEMUPUKAN_BEFORE_IMPO!$A$1:$N$1</definedName>
    <definedName hidden="1" localSheetId="30" name="_xlnm._FilterDatabase">BACKUP_ARCHIVE_PENJUALAN_2025_2!$A$1:$M$1</definedName>
    <definedName hidden="1" localSheetId="31" name="_xlnm._FilterDatabase">BACKUP_ARCHIVE_BIAYA_2025_20260!$A$1:$M$1</definedName>
    <definedName hidden="1" localSheetId="32" name="_xlnm._FilterDatabase">BACKUP_ARCHIVE_KAS_2025_2026061!$A$1:$N$1</definedName>
    <definedName hidden="1" localSheetId="33" name="_xlnm._FilterDatabase">BACKUP_ARCHIVE_PEMUPUKAN_2025_2!$A$1:$P$1</definedName>
  </definedNames>
  <calcPr/>
</workbook>
</file>

<file path=xl/sharedStrings.xml><?xml version="1.0" encoding="utf-8"?>
<sst xmlns="http://schemas.openxmlformats.org/spreadsheetml/2006/main" count="12865" uniqueCount="1986">
  <si>
    <t>tx_id</t>
  </si>
  <si>
    <t>created_at</t>
  </si>
  <si>
    <t>updated_at</t>
  </si>
  <si>
    <t>status</t>
  </si>
  <si>
    <t>periode_tahun</t>
  </si>
  <si>
    <t>periode_bulan</t>
  </si>
  <si>
    <t>tanggal_bukti</t>
  </si>
  <si>
    <t>panen_kg</t>
  </si>
  <si>
    <t>harga</t>
  </si>
  <si>
    <t>jumlah</t>
  </si>
  <si>
    <t>keterangan</t>
  </si>
  <si>
    <t>sumber_file</t>
  </si>
  <si>
    <t>source_row</t>
  </si>
  <si>
    <t>panen_ke</t>
  </si>
  <si>
    <t>batch_id</t>
  </si>
  <si>
    <t>V3-JUAL-2026-01-0001</t>
  </si>
  <si>
    <t>2026-06-07T12:09:16.098Z</t>
  </si>
  <si>
    <t>active</t>
  </si>
  <si>
    <t>Januari PANEN 1</t>
  </si>
  <si>
    <t>BUKIT PRAGO - 2026 / harian</t>
  </si>
  <si>
    <t>V3-JUAL-2026-01-0002</t>
  </si>
  <si>
    <t>V3-JUAL-2026-01-0003</t>
  </si>
  <si>
    <t>V3-JUAL-2026-01-0004</t>
  </si>
  <si>
    <t>V3-JUAL-2026-01-0005</t>
  </si>
  <si>
    <t>V3-JUAL-2026-01-0006</t>
  </si>
  <si>
    <t>2026-06-07T12:09:16.102Z</t>
  </si>
  <si>
    <t>Januari PANEN 2</t>
  </si>
  <si>
    <t>V3-JUAL-2026-01-0007</t>
  </si>
  <si>
    <t>V3-JUAL-2026-01-0008</t>
  </si>
  <si>
    <t>V3-JUAL-2026-01-0009</t>
  </si>
  <si>
    <t>V3-JUAL-2026-02-0001</t>
  </si>
  <si>
    <t>2026-06-07T12:09:16.105Z</t>
  </si>
  <si>
    <t>2026-06-07T12:09:16.106Z</t>
  </si>
  <si>
    <t>Januari PANEN 3</t>
  </si>
  <si>
    <t>V3-JUAL-2026-02-0002</t>
  </si>
  <si>
    <t>V3-JUAL-2026-02-0003</t>
  </si>
  <si>
    <t>V3-JUAL-2026-02-0004</t>
  </si>
  <si>
    <t>V3-JUAL-2026-02-0005</t>
  </si>
  <si>
    <t>V3-JUAL-2026-02-0006</t>
  </si>
  <si>
    <t>2026-06-07T12:09:16.108Z</t>
  </si>
  <si>
    <t>Februari PANEN 1</t>
  </si>
  <si>
    <t>V3-JUAL-2026-02-0007</t>
  </si>
  <si>
    <t>2026-06-07T12:09:16.109Z</t>
  </si>
  <si>
    <t>V3-JUAL-2026-02-0008</t>
  </si>
  <si>
    <t>V3-JUAL-2026-02-0009</t>
  </si>
  <si>
    <t>V3-JUAL-2026-03-0001</t>
  </si>
  <si>
    <t>2026-06-07T12:09:16.111Z</t>
  </si>
  <si>
    <t>Februari PANEN 2</t>
  </si>
  <si>
    <t>V3-JUAL-2026-03-0002</t>
  </si>
  <si>
    <t>V3-JUAL-2026-03-0003</t>
  </si>
  <si>
    <t>FebruariPANEN 2</t>
  </si>
  <si>
    <t>V3-JUAL-2026-03-0004</t>
  </si>
  <si>
    <t>2026-06-07T12:09:16.112Z</t>
  </si>
  <si>
    <t>V3-JUAL-2026-03-0005</t>
  </si>
  <si>
    <t>2026-06-07T12:09:16.114Z</t>
  </si>
  <si>
    <t>Maret PANEN 1</t>
  </si>
  <si>
    <t>V3-JUAL-2026-03-0006</t>
  </si>
  <si>
    <t>V3-JUAL-2026-03-0007</t>
  </si>
  <si>
    <t>V3-JUAL-2026-03-0008</t>
  </si>
  <si>
    <t>2026-06-07T12:09:16.115Z</t>
  </si>
  <si>
    <t>V3-JUAL-2026-03-0009</t>
  </si>
  <si>
    <t>V3-JUAL-2026-03-0010</t>
  </si>
  <si>
    <t>V3-JUAL-2026-03-0011</t>
  </si>
  <si>
    <t>2026-06-07T12:09:16.117Z</t>
  </si>
  <si>
    <t>Maret PANEN 2</t>
  </si>
  <si>
    <t>V3-JUAL-2026-03-0012</t>
  </si>
  <si>
    <t>V3-JUAL-2026-03-0013</t>
  </si>
  <si>
    <t>V3-JUAL-2026-03-0014</t>
  </si>
  <si>
    <t>V3-JUAL-2026-04-0001</t>
  </si>
  <si>
    <t>2026-06-07T12:09:16.119Z</t>
  </si>
  <si>
    <t>April PANEN 1</t>
  </si>
  <si>
    <t>V3-JUAL-2026-04-0002</t>
  </si>
  <si>
    <t>V3-JUAL-2026-04-0003</t>
  </si>
  <si>
    <t>V3-JUAL-2026-04-0004</t>
  </si>
  <si>
    <t>V3-JUAL-2026-04-0005</t>
  </si>
  <si>
    <t>V3-JUAL-2026-05-0001</t>
  </si>
  <si>
    <t>2026-06-07T12:09:16.121Z</t>
  </si>
  <si>
    <t>April PANEN 2</t>
  </si>
  <si>
    <t>V3-JUAL-2026-05-0002</t>
  </si>
  <si>
    <t>V3-JUAL-2026-05-0003</t>
  </si>
  <si>
    <t>V3-JUAL-2026-05-0004</t>
  </si>
  <si>
    <t>V3-JUAL-2026-05-0005</t>
  </si>
  <si>
    <t>2026-06-07T12:09:16.123Z</t>
  </si>
  <si>
    <t>Mei PANEN 1</t>
  </si>
  <si>
    <t>V3-JUAL-2026-05-0006</t>
  </si>
  <si>
    <t>V3-JUAL-2026-05-0007</t>
  </si>
  <si>
    <t>V3-JUAL-2026-05-0008</t>
  </si>
  <si>
    <t>V3-JUAL-2026-06-0001</t>
  </si>
  <si>
    <t>2026-06-07T12:09:16.125Z</t>
  </si>
  <si>
    <t>Mei PANEN 2</t>
  </si>
  <si>
    <t>V3-JUAL-2026-06-0002</t>
  </si>
  <si>
    <t>V3-JUAL-2026-06-0003</t>
  </si>
  <si>
    <t>V3-JUAL-2026-06-0004</t>
  </si>
  <si>
    <t>V3-JUAL-2026-06-0005</t>
  </si>
  <si>
    <t>2026-06-07T12:09:16.127Z</t>
  </si>
  <si>
    <t>Juni PANEN 1</t>
  </si>
  <si>
    <t>V3-JUAL-2026-06-0006</t>
  </si>
  <si>
    <t>2026-06-07T12:09:16.128Z</t>
  </si>
  <si>
    <t>V3-JUAL-2026-06-0007</t>
  </si>
  <si>
    <t>V3-JUAL-2026-06-0008</t>
  </si>
  <si>
    <t>PNJ_V3INPUT_2026_6_PANEN2_20260618_222734_001</t>
  </si>
  <si>
    <t>Juni PANEN 2</t>
  </si>
  <si>
    <t>INPUT_SHEET_V3</t>
  </si>
  <si>
    <t>V3INPUT_2026_6_PANEN2_20260618_222734</t>
  </si>
  <si>
    <t>PNJ_V3INPUT_2026_6_PANEN2_20260618_222734_002</t>
  </si>
  <si>
    <t>PNJ_V3INPUT_2026_6_PANEN2_20260618_222734_003</t>
  </si>
  <si>
    <t>PNJ_V3INPUT_2026_6_PANEN2_20260618_222734_004</t>
  </si>
  <si>
    <t>PNJ_V3INPUT_2026_6_PANEN2_20260618_222734_005</t>
  </si>
  <si>
    <t>PNJ_V3INPUT_2026_7_PANEN1_20260702_210109_001</t>
  </si>
  <si>
    <t>Juli PANEN 1</t>
  </si>
  <si>
    <t>V3INPUT_2026_7_PANEN1_20260702_210109</t>
  </si>
  <si>
    <t>PNJ_V3INPUT_2026_7_PANEN1_20260702_210109_002</t>
  </si>
  <si>
    <t>PNJ_V3INPUT_2026_7_PANEN1_20260702_210109_003</t>
  </si>
  <si>
    <t>PNJ_V3INPUT_2026_7_PANEN1_20260702_210109_004</t>
  </si>
  <si>
    <t>PNJ_V3INPUT_2026_7_PANEN1_20260702_210109_005</t>
  </si>
  <si>
    <t>PNJ_V3INPUT_2026_7_PANEN1_20260702_210109_006</t>
  </si>
  <si>
    <t>tahun</t>
  </si>
  <si>
    <t>target_kg</t>
  </si>
  <si>
    <t>jan_kg</t>
  </si>
  <si>
    <t>feb_kg</t>
  </si>
  <si>
    <t>mar_kg</t>
  </si>
  <si>
    <t>apr_kg</t>
  </si>
  <si>
    <t>mei_kg</t>
  </si>
  <si>
    <t>jun_kg</t>
  </si>
  <si>
    <t>jul_kg</t>
  </si>
  <si>
    <t>agu_kg</t>
  </si>
  <si>
    <t>sep_kg</t>
  </si>
  <si>
    <t>okt_kg</t>
  </si>
  <si>
    <t>nov_kg</t>
  </si>
  <si>
    <t>des_kg</t>
  </si>
  <si>
    <t>target_source</t>
  </si>
  <si>
    <t>recommendation_level</t>
  </si>
  <si>
    <t>analysis_years</t>
  </si>
  <si>
    <t>analysis_quality</t>
  </si>
  <si>
    <t>analysis_snapshot_json</t>
  </si>
  <si>
    <t>analysis_updated_at</t>
  </si>
  <si>
    <t>smart_version</t>
  </si>
  <si>
    <t>ensemble_trend_seasonal</t>
  </si>
  <si>
    <t>optimistic</t>
  </si>
  <si>
    <t>rendah</t>
  </si>
  <si>
    <t>{"ok":true,"nonBlocking":true,"targetYear":2026,"smartVersion":"V3_TARGET_ENSEMBLE_MONTHLY_BACKTEST_SAFE","mode":"FALLBACK_2_YEAR_ADAPTIVE","quality":"rendah","yearsUsed":[2024,2025],"annuals":[{"year":2024,"totalKg":331247,"monthlyKg":[18225,15406,19273,20907,32432,29426,26774,22783,25738,57226,29735,33322],"source":"ARCHIVE_PENJUALAN"},{"year":2025,"totalKg":481232,"monthlyKg":[26186,24732,28556,57628,39913,34177,37218,38636,46834,47935,44201,55216],"source":"ARCHIVE_PENJUALAN"}],"totalHistoryKg":812479,"monthlyWeights":[0.0561958174904943,0.052783269961977186,0.06106083650190114,0.09332889733840304,0.08640114068441064,0.07845057034220532,0.07990494296577946,0.0784106463878327,0.09037262357414448,0.1216254752851711,0.09299619771863119,0.10846958174904943],"monthlyWeightPct":[5.62,5.28,6.11,9.33,8.64,7.85,7.99,7.84,9.04,12.16,9.3,10.85],"monthlyForecastKg":[29559,27764,32118,49091,45447,41265,42030,41244,47536,63975,48916,57055],"recommendations":{"conservative":447400,"normal":526000,"optimistic":604700},"recommendedTargetKg":526000,"dominantModel":"Tren Tahunan Berbobot (fallback)","models":[{"key":"weightedTrend","name":"Tren Tahunan Berbobot","forecastKg":460611,"weightPct":50,"mape":null,"biasPct":null,"periods":0},{"key":"robustSeasonal","name":"Tren Robust Musiman","forecastKg":580162,"weightPct":35,"mape":null,"biasPct":null,"periods":0},{"key":"holtWinters","name":"Holt-Winters Musiman","forecastKg":617908,"weightPct":15,"mape":null,"biasPct":null,"periods":0}],"anomalyCount":0,"uncertaintyPct":14.95,"modelDispersionPct":14.95,"weightingBasis":"Bobot fallback adaptif untuk 2 tahun data","biasCorrectionPct":0,"backtest":{"available":false,"periods":0,"mape":null,"maeKg":null,"biasPct":null},"note":"Backtest belum cukup. Sistem memakai bobot fallback adaptif dan transparan untuk 2 tahun data; rentang ketidakpastian juga memperhitungkan selisih prediksi antar-model.","message":""}</t>
  </si>
  <si>
    <t>V3_TARGET_ENSEMBLE_MONTHLY_BACKTEST_SAFE</t>
  </si>
  <si>
    <t>Target produksi fallback adaptif 2 tahun optimistis tahun 2026 — histori 2024, 2025</t>
  </si>
  <si>
    <t>archived_at</t>
  </si>
  <si>
    <t>archive_version</t>
  </si>
  <si>
    <t>closed_year</t>
  </si>
  <si>
    <t>closed_to_year</t>
  </si>
  <si>
    <t>close_year_batch_id</t>
  </si>
  <si>
    <t>status_tahun</t>
  </si>
  <si>
    <t>locked</t>
  </si>
  <si>
    <t>closed_at</t>
  </si>
  <si>
    <t>closed_by</t>
  </si>
  <si>
    <t>backup_file</t>
  </si>
  <si>
    <t>backup_file_id</t>
  </si>
  <si>
    <t>backup_generated_at</t>
  </si>
  <si>
    <t>summary_json</t>
  </si>
  <si>
    <t>version</t>
  </si>
  <si>
    <t>catatan</t>
  </si>
  <si>
    <t>OPEN</t>
  </si>
  <si>
    <t>V3_YEAR_CLOSING_8F_ROLLBACK_ACTIVE_2026_SAFE</t>
  </si>
  <si>
    <t>Rollback 8F: 2026 dikembalikan sebagai tahun berjalan OPEN karena operasional masih 2026.</t>
  </si>
  <si>
    <t>Januari</t>
  </si>
  <si>
    <t>PANEN 1</t>
  </si>
  <si>
    <t>x</t>
  </si>
  <si>
    <t>Jumlah</t>
  </si>
  <si>
    <t>BIAYA 1</t>
  </si>
  <si>
    <t>pinjaman</t>
  </si>
  <si>
    <t>3,753  Kg</t>
  </si>
  <si>
    <t>Rp 11,559,240</t>
  </si>
  <si>
    <t>ongkos mobil</t>
  </si>
  <si>
    <t>21.753 x Rp 120</t>
  </si>
  <si>
    <t>Rp 2,610,360</t>
  </si>
  <si>
    <t>kas</t>
  </si>
  <si>
    <t>Rp 14,000,000</t>
  </si>
  <si>
    <t>3,194  Kg</t>
  </si>
  <si>
    <t>Rp 9,837,520</t>
  </si>
  <si>
    <t>upah panen</t>
  </si>
  <si>
    <t>21.753 x Rp 170</t>
  </si>
  <si>
    <t>Rp 3,698,010</t>
  </si>
  <si>
    <t>panen 1</t>
  </si>
  <si>
    <t>Rp 66,922,800</t>
  </si>
  <si>
    <t>6,230  Kg</t>
  </si>
  <si>
    <t>Rp 19,188,400</t>
  </si>
  <si>
    <t>brondolan</t>
  </si>
  <si>
    <t>biaya 1</t>
  </si>
  <si>
    <t>Rp 31,133,370</t>
  </si>
  <si>
    <t>4,754  Kg</t>
  </si>
  <si>
    <t>Rp 14,642,320</t>
  </si>
  <si>
    <t>SPSI</t>
  </si>
  <si>
    <t>Rp 6,000,000</t>
  </si>
  <si>
    <t>3,822  Kg</t>
  </si>
  <si>
    <t>Rp 11,695,320</t>
  </si>
  <si>
    <t>borate</t>
  </si>
  <si>
    <t>29 karung x 490.000</t>
  </si>
  <si>
    <t>Rp 14,210,000</t>
  </si>
  <si>
    <t>potong pinjaman</t>
  </si>
  <si>
    <t>⏳</t>
  </si>
  <si>
    <t>premi pupuk</t>
  </si>
  <si>
    <t>Rp 1,400,000</t>
  </si>
  <si>
    <t>21,753  Kg</t>
  </si>
  <si>
    <t>PLN</t>
  </si>
  <si>
    <t>total</t>
  </si>
  <si>
    <t>Rp 43,789,430</t>
  </si>
  <si>
    <t>injektor hilux</t>
  </si>
  <si>
    <t>Rp 4,715,000</t>
  </si>
  <si>
    <t>transfer</t>
  </si>
  <si>
    <t>bibit</t>
  </si>
  <si>
    <t>Rp 2,000,000</t>
  </si>
  <si>
    <t>sisa</t>
  </si>
  <si>
    <t>Rp -</t>
  </si>
  <si>
    <t>berobat anggota</t>
  </si>
  <si>
    <t>beras</t>
  </si>
  <si>
    <t>Rp 1,230,000</t>
  </si>
  <si>
    <t>Profit:</t>
  </si>
  <si>
    <t>Rp 35,789,430</t>
  </si>
  <si>
    <t>PANEN 2</t>
  </si>
  <si>
    <t>BIAYA 2</t>
  </si>
  <si>
    <t>5,278  Kg</t>
  </si>
  <si>
    <t>Rp 16,256,240</t>
  </si>
  <si>
    <t>18.207 x Rp 120</t>
  </si>
  <si>
    <t>Rp 2,184,840</t>
  </si>
  <si>
    <t>5,392  Kg</t>
  </si>
  <si>
    <t>Rp 16,607,360</t>
  </si>
  <si>
    <t>18.207 x Rp 170</t>
  </si>
  <si>
    <t>Rp 3,095,190</t>
  </si>
  <si>
    <t>panen 2</t>
  </si>
  <si>
    <t>Rp 55,851,450</t>
  </si>
  <si>
    <t>4,511  Kg</t>
  </si>
  <si>
    <t>Rp 13,758,550</t>
  </si>
  <si>
    <t>biaya 2</t>
  </si>
  <si>
    <t>Rp 23,185,030</t>
  </si>
  <si>
    <t>3,026  Kg</t>
  </si>
  <si>
    <t>Rp 9,229,300</t>
  </si>
  <si>
    <t>gaji along, ijal</t>
  </si>
  <si>
    <t>Rp 4,500,000</t>
  </si>
  <si>
    <t>durian</t>
  </si>
  <si>
    <t>18,207  Kg</t>
  </si>
  <si>
    <t>jangkos</t>
  </si>
  <si>
    <t>Rp 38,666,420</t>
  </si>
  <si>
    <t>babat</t>
  </si>
  <si>
    <t>1,4 Ha x 750.000</t>
  </si>
  <si>
    <t>Rp 1,050,000</t>
  </si>
  <si>
    <t>Rp 32,000,000</t>
  </si>
  <si>
    <t>lansir</t>
  </si>
  <si>
    <t>Rp 6,666,420</t>
  </si>
  <si>
    <t>ayam tahun baru</t>
  </si>
  <si>
    <t>kabel PLN</t>
  </si>
  <si>
    <t>harian</t>
  </si>
  <si>
    <t>tunas</t>
  </si>
  <si>
    <t>850 btg x 3.500</t>
  </si>
  <si>
    <t>Rp 2,975,000</t>
  </si>
  <si>
    <t>Profit</t>
  </si>
  <si>
    <t>Rp 32,666,420</t>
  </si>
  <si>
    <t>Februari</t>
  </si>
  <si>
    <t>3,464  Kg</t>
  </si>
  <si>
    <t>Rp 10,634,480</t>
  </si>
  <si>
    <t>20.807 x Rp 120</t>
  </si>
  <si>
    <t>Rp 2,496,840</t>
  </si>
  <si>
    <t>2,172  Kg</t>
  </si>
  <si>
    <t>Rp 6,711,480</t>
  </si>
  <si>
    <t>20.807 x Rp 170</t>
  </si>
  <si>
    <t>Rp 3,537,190</t>
  </si>
  <si>
    <t>Rp 64,103,490</t>
  </si>
  <si>
    <t>5,287  Kg</t>
  </si>
  <si>
    <t>Rp 16,336,830</t>
  </si>
  <si>
    <t>Rp 25,689,030</t>
  </si>
  <si>
    <t>6,043  Kg</t>
  </si>
  <si>
    <t>Rp 18,552,010</t>
  </si>
  <si>
    <t>3,841  Kg</t>
  </si>
  <si>
    <t>Rp 11,868,690</t>
  </si>
  <si>
    <t>dolomit</t>
  </si>
  <si>
    <t>128 karung x 50.000</t>
  </si>
  <si>
    <t>Rp 6,400,000</t>
  </si>
  <si>
    <t>Rp 3,200,000</t>
  </si>
  <si>
    <t>20,807  Kg</t>
  </si>
  <si>
    <t>ongkos pupuk</t>
  </si>
  <si>
    <t>Rp 38,414,460</t>
  </si>
  <si>
    <t>2 kali</t>
  </si>
  <si>
    <t>Rp 23,000,000</t>
  </si>
  <si>
    <t>mancang</t>
  </si>
  <si>
    <t>Rp 15,414,460</t>
  </si>
  <si>
    <t>kir hilux + service</t>
  </si>
  <si>
    <t>Rp 1,785,000</t>
  </si>
  <si>
    <t>lunas pintu + pasang</t>
  </si>
  <si>
    <t>4.300.000 + 1.500.000</t>
  </si>
  <si>
    <t>Rp 5,800,000</t>
  </si>
  <si>
    <t>5,655  Kg</t>
  </si>
  <si>
    <t>Rp 18,887,700</t>
  </si>
  <si>
    <t>20.534 x Rp 120</t>
  </si>
  <si>
    <t>Rp 2,464,080</t>
  </si>
  <si>
    <t>Rp 15,000,000</t>
  </si>
  <si>
    <t>tukang</t>
  </si>
  <si>
    <t>5,820  Kg</t>
  </si>
  <si>
    <t>Rp 19,613,400</t>
  </si>
  <si>
    <t>20.534 x Rp 170</t>
  </si>
  <si>
    <t>Rp 3,490,780</t>
  </si>
  <si>
    <t>Rp 69,475,890</t>
  </si>
  <si>
    <t>4,879  Kg</t>
  </si>
  <si>
    <t>Rp 16,637,390</t>
  </si>
  <si>
    <t>Rp 57,499,860</t>
  </si>
  <si>
    <t>4,180  Kg</t>
  </si>
  <si>
    <t>Rp 14,337,400</t>
  </si>
  <si>
    <t>pupuk RP</t>
  </si>
  <si>
    <t>126 karung x 120.000</t>
  </si>
  <si>
    <t>Rp 15,120,000</t>
  </si>
  <si>
    <t>126 karung x 25.000</t>
  </si>
  <si>
    <t>Rp 3,150,000</t>
  </si>
  <si>
    <t>20,534  Kg</t>
  </si>
  <si>
    <t>ongkos pupuk + susun</t>
  </si>
  <si>
    <t>400.000 + 100.000</t>
  </si>
  <si>
    <t>Rp 32,976,030</t>
  </si>
  <si>
    <t>belanjaan pintu</t>
  </si>
  <si>
    <t>Rp 2,490,000</t>
  </si>
  <si>
    <t>pajak hilux</t>
  </si>
  <si>
    <t>Rp 5,200,000</t>
  </si>
  <si>
    <t>19 mobil x 500.000</t>
  </si>
  <si>
    <t>Rp 9,500,000</t>
  </si>
  <si>
    <t>Rp 1,500,000</t>
  </si>
  <si>
    <t>140 btg x 4.000</t>
  </si>
  <si>
    <t>Rp 11,976,030</t>
  </si>
  <si>
    <t>9,5 ha x 750.000</t>
  </si>
  <si>
    <t>Rp 7,125,000</t>
  </si>
  <si>
    <t>DP pintu</t>
  </si>
  <si>
    <t>Rp 1,000,000</t>
  </si>
  <si>
    <t>Maret</t>
  </si>
  <si>
    <t>4,449  Kg</t>
  </si>
  <si>
    <t>Rp 14,681,700</t>
  </si>
  <si>
    <t>16.677 x Rp 120</t>
  </si>
  <si>
    <t>Rp 2,001,240</t>
  </si>
  <si>
    <t>4,836  Kg</t>
  </si>
  <si>
    <t>Rp 15,958,800</t>
  </si>
  <si>
    <t>16.677 x Rp 170</t>
  </si>
  <si>
    <t>Rp 2,835,090</t>
  </si>
  <si>
    <t>Rp 55,034,100</t>
  </si>
  <si>
    <t>3,590  Kg</t>
  </si>
  <si>
    <t>Rp 11,847,000</t>
  </si>
  <si>
    <t>Rp 56,729,330</t>
  </si>
  <si>
    <t>3,802  Kg</t>
  </si>
  <si>
    <t>Rp 12,546,600</t>
  </si>
  <si>
    <t>Rp 4,000,000</t>
  </si>
  <si>
    <t>urea</t>
  </si>
  <si>
    <t>76 karung x 410.000</t>
  </si>
  <si>
    <t>Rp 31,160,000</t>
  </si>
  <si>
    <t>89 karung x 25.000</t>
  </si>
  <si>
    <t>Rp 2,225,000</t>
  </si>
  <si>
    <t>16,677  Kg</t>
  </si>
  <si>
    <t>Rp 26,304,770</t>
  </si>
  <si>
    <t>Las angkong + ban</t>
  </si>
  <si>
    <t>Rp 24,500,000</t>
  </si>
  <si>
    <t>Rp 1,804,770</t>
  </si>
  <si>
    <t>13 karung x 420.000</t>
  </si>
  <si>
    <t>Rp 5,460,000</t>
  </si>
  <si>
    <t>jok mobil</t>
  </si>
  <si>
    <t>12 mbl x 500.000</t>
  </si>
  <si>
    <t>Rp (1,695,230)</t>
  </si>
  <si>
    <t>konsen</t>
  </si>
  <si>
    <t>3,899  Kg</t>
  </si>
  <si>
    <t>Rp 12,515,790</t>
  </si>
  <si>
    <t>30.204 x Rp 120</t>
  </si>
  <si>
    <t>Rp 3,624,480</t>
  </si>
  <si>
    <t>5,810  Kg</t>
  </si>
  <si>
    <t>Rp 18,650,100</t>
  </si>
  <si>
    <t>30.204 x Rp 170</t>
  </si>
  <si>
    <t>Rp 5,134,680</t>
  </si>
  <si>
    <t>Rp 102,378,720</t>
  </si>
  <si>
    <t>4,982  Kg</t>
  </si>
  <si>
    <t>Rp 16,141,680</t>
  </si>
  <si>
    <t>Rp 54,321,160</t>
  </si>
  <si>
    <t>6,668  Kg</t>
  </si>
  <si>
    <t>Rp 23,671,400</t>
  </si>
  <si>
    <t>anggota</t>
  </si>
  <si>
    <t>3,539  Kg</t>
  </si>
  <si>
    <t>Rp 12,563,450</t>
  </si>
  <si>
    <t>premi pupuk borate</t>
  </si>
  <si>
    <t>Rp 1,200,000</t>
  </si>
  <si>
    <t>5,306  Kg</t>
  </si>
  <si>
    <t>Rp 18,836,300</t>
  </si>
  <si>
    <t>Rp 1,800,000</t>
  </si>
  <si>
    <t>30,204  Kg</t>
  </si>
  <si>
    <t>Rp 49,362,330</t>
  </si>
  <si>
    <t>Rp 3,000,000</t>
  </si>
  <si>
    <t>Rp 49,000,000</t>
  </si>
  <si>
    <t>bon anggota berhenti</t>
  </si>
  <si>
    <t>Rp 1,098,000</t>
  </si>
  <si>
    <t>Rp 6,375,000</t>
  </si>
  <si>
    <t>3 karung x 520.000</t>
  </si>
  <si>
    <t>Rp 1,560,000</t>
  </si>
  <si>
    <t>pupuk abu ( KCL )</t>
  </si>
  <si>
    <t>6.120 x 2.300</t>
  </si>
  <si>
    <t>Rp 14,076,000</t>
  </si>
  <si>
    <t>Rp 48,057,560</t>
  </si>
  <si>
    <t>ongkos abu ( KCL  )</t>
  </si>
  <si>
    <t>THR</t>
  </si>
  <si>
    <t>Rp 7,500,000</t>
  </si>
  <si>
    <t>beras + minum</t>
  </si>
  <si>
    <t>Rp 2,133,000</t>
  </si>
  <si>
    <t>BIAYA  2</t>
  </si>
  <si>
    <t>4,093  Kg</t>
  </si>
  <si>
    <t>Rp 14,612,010</t>
  </si>
  <si>
    <t>22.106 x Rp 120</t>
  </si>
  <si>
    <t>Rp 2,652,720</t>
  </si>
  <si>
    <t>7,983  Kg</t>
  </si>
  <si>
    <t>Rp 28,259,820</t>
  </si>
  <si>
    <t>22.106 x Rp 170</t>
  </si>
  <si>
    <t>Rp 3,758,020</t>
  </si>
  <si>
    <t>Rp 78,506,370</t>
  </si>
  <si>
    <t>Dp pintu</t>
  </si>
  <si>
    <t>5,752  Kg</t>
  </si>
  <si>
    <t>Rp 20,362,080</t>
  </si>
  <si>
    <t>Rp 44,351,740</t>
  </si>
  <si>
    <t>4,278  Kg</t>
  </si>
  <si>
    <t>Rp 15,272,460</t>
  </si>
  <si>
    <t>Konsen</t>
  </si>
  <si>
    <t>pulsa PLN</t>
  </si>
  <si>
    <t>pasir</t>
  </si>
  <si>
    <t>2 mobil</t>
  </si>
  <si>
    <t>22,106  Kg</t>
  </si>
  <si>
    <t>Pupuk Abu ( KCL )</t>
  </si>
  <si>
    <t>6.020 kg x 2.300</t>
  </si>
  <si>
    <t>Rp 13,846,000</t>
  </si>
  <si>
    <t>Rp 38,654,630</t>
  </si>
  <si>
    <t>ongkos pupuk + lawder</t>
  </si>
  <si>
    <t>Rp 38,000,000</t>
  </si>
  <si>
    <t>16,5 ha x 750.000</t>
  </si>
  <si>
    <t>Rp 12,375,000</t>
  </si>
  <si>
    <t>semen + paku</t>
  </si>
  <si>
    <t>gaji along + ijal</t>
  </si>
  <si>
    <t>susun pupuk + premi pasir</t>
  </si>
  <si>
    <t>Rp 34,154,630</t>
  </si>
  <si>
    <t>AC hilux + nasi</t>
  </si>
  <si>
    <t>Rp 1,850,000</t>
  </si>
  <si>
    <t>April</t>
  </si>
  <si>
    <t>3,348  Kg</t>
  </si>
  <si>
    <t>Rp 12,354,120</t>
  </si>
  <si>
    <t>23.583 x Rp 120</t>
  </si>
  <si>
    <t>Rp 2,829,960</t>
  </si>
  <si>
    <t>4,462  Kg</t>
  </si>
  <si>
    <t>Rp 16,464,780</t>
  </si>
  <si>
    <t>23.583 x Rp 170</t>
  </si>
  <si>
    <t>Rp 4,009,110</t>
  </si>
  <si>
    <t>Rp 86,390,350</t>
  </si>
  <si>
    <t>Dp konsen</t>
  </si>
  <si>
    <t>5,297  Kg</t>
  </si>
  <si>
    <t>Rp 19,334,050</t>
  </si>
  <si>
    <t>Rp 28,372,070</t>
  </si>
  <si>
    <t>3,812  Kg</t>
  </si>
  <si>
    <t>Rp 13,913,800</t>
  </si>
  <si>
    <t>6,664  Kg</t>
  </si>
  <si>
    <t>Rp 24,323,600</t>
  </si>
  <si>
    <t>Lantai kem</t>
  </si>
  <si>
    <t>Rp 1,890,000</t>
  </si>
  <si>
    <t>Jangkos</t>
  </si>
  <si>
    <t>9 mbl x 500.000</t>
  </si>
  <si>
    <t>23,583  Kg</t>
  </si>
  <si>
    <t>semen</t>
  </si>
  <si>
    <t>10 sak</t>
  </si>
  <si>
    <t>Rp 56,018,280</t>
  </si>
  <si>
    <t>lantai kem teras</t>
  </si>
  <si>
    <t>Rp 2,800,000</t>
  </si>
  <si>
    <t>Rp 37,000,000</t>
  </si>
  <si>
    <t>lahar mobil</t>
  </si>
  <si>
    <t>Rp 1,060,000</t>
  </si>
  <si>
    <t>Rp 19,018,280</t>
  </si>
  <si>
    <t>3 Ha x 750.000</t>
  </si>
  <si>
    <t>Rp 2,250,000</t>
  </si>
  <si>
    <t>premi pupuk Abu</t>
  </si>
  <si>
    <t>242 x 25.000 . 12 Ton</t>
  </si>
  <si>
    <t>Rp 6,050,000</t>
  </si>
  <si>
    <t>Rp 1,223,000</t>
  </si>
  <si>
    <t>Rp 58,018,280</t>
  </si>
  <si>
    <t>Mei</t>
  </si>
  <si>
    <t>Rp 11,402,580</t>
  </si>
  <si>
    <t>17.062 x Rp 120</t>
  </si>
  <si>
    <t>Rp 2,047,440</t>
  </si>
  <si>
    <t>Rp 19,000,000</t>
  </si>
  <si>
    <t>4,652  Kg</t>
  </si>
  <si>
    <t>Rp 16,607,640</t>
  </si>
  <si>
    <t>17.062 x Rp 170</t>
  </si>
  <si>
    <t>Rp 2,900,540</t>
  </si>
  <si>
    <t>Rp 60,911,340</t>
  </si>
  <si>
    <t>4,928  Kg</t>
  </si>
  <si>
    <t>Rp 17,592,960</t>
  </si>
  <si>
    <t>Rp 43,148,980</t>
  </si>
  <si>
    <t>4,288  Kg</t>
  </si>
  <si>
    <t>Rp 15,308,160</t>
  </si>
  <si>
    <t>Urea</t>
  </si>
  <si>
    <t>112 karung x 170.000</t>
  </si>
  <si>
    <t>Rp 19,040,000</t>
  </si>
  <si>
    <t>Ongkos + Susun pupuk</t>
  </si>
  <si>
    <t>17,062  Kg</t>
  </si>
  <si>
    <t>Nasi+Premi Operator</t>
  </si>
  <si>
    <t>610.000 + 450.000</t>
  </si>
  <si>
    <t>Rp 38,762,360</t>
  </si>
  <si>
    <t>Alat berat</t>
  </si>
  <si>
    <t>2 hr x 3000.000</t>
  </si>
  <si>
    <t>Rp 24,000,000</t>
  </si>
  <si>
    <t>harian + babat</t>
  </si>
  <si>
    <t>Rp 1,900,000</t>
  </si>
  <si>
    <t>Rp 14,762,360</t>
  </si>
  <si>
    <t>1.250.000 + 500.000</t>
  </si>
  <si>
    <t>Rp 1,750,000</t>
  </si>
  <si>
    <t>Durian + ganyang</t>
  </si>
  <si>
    <t>350.000 + 100.000</t>
  </si>
  <si>
    <t>Ijal</t>
  </si>
  <si>
    <t>Pulsa PLN+pindah meteran</t>
  </si>
  <si>
    <t>Rp 17,762,360</t>
  </si>
  <si>
    <t>Tunas</t>
  </si>
  <si>
    <t>94btg x 4.000</t>
  </si>
  <si>
    <t>Oli hilux</t>
  </si>
  <si>
    <t>Rp 1,655,000</t>
  </si>
  <si>
    <t>Doa anggota</t>
  </si>
  <si>
    <t>4,705  Kg</t>
  </si>
  <si>
    <t>Rp 16,843,900</t>
  </si>
  <si>
    <t>18.958 x Rp 120</t>
  </si>
  <si>
    <t>Rp 2,274,960</t>
  </si>
  <si>
    <t>4,681  Kg</t>
  </si>
  <si>
    <t>Rp 16,851,600</t>
  </si>
  <si>
    <t>18.958 x Rp 170</t>
  </si>
  <si>
    <t>Rp 3,222,860</t>
  </si>
  <si>
    <t>Rp 67,939,850</t>
  </si>
  <si>
    <t>5,275  Kg</t>
  </si>
  <si>
    <t>Rp 18,990,000</t>
  </si>
  <si>
    <t>Rp 13,550,820</t>
  </si>
  <si>
    <t>4,297  Kg</t>
  </si>
  <si>
    <t>Rp 15,254,350</t>
  </si>
  <si>
    <t>serak batu + iron</t>
  </si>
  <si>
    <t>100.000 + 300.000</t>
  </si>
  <si>
    <t>18,958  Kg</t>
  </si>
  <si>
    <t>Rp 64,389,030</t>
  </si>
  <si>
    <t>Rp 50,000,000</t>
  </si>
  <si>
    <t>Rp 14,389,030</t>
  </si>
  <si>
    <t>Rp 3,360,000</t>
  </si>
  <si>
    <t>Rp 54,389,030</t>
  </si>
  <si>
    <t>Juni</t>
  </si>
  <si>
    <t>5,093  Kg</t>
  </si>
  <si>
    <t>Rp 17,672,710</t>
  </si>
  <si>
    <t>20.392 x Rp 120</t>
  </si>
  <si>
    <t>Rp 2,447,040</t>
  </si>
  <si>
    <t>Rp 14,749,000</t>
  </si>
  <si>
    <t>3,320  Kg</t>
  </si>
  <si>
    <t>Rp 10,856,400</t>
  </si>
  <si>
    <t>20.392 x Rp 170</t>
  </si>
  <si>
    <t>Rp 3,466,640</t>
  </si>
  <si>
    <t>Rp 64,504,440</t>
  </si>
  <si>
    <t>5,587  Kg</t>
  </si>
  <si>
    <t>Rp 18,269,490</t>
  </si>
  <si>
    <t>Rp 29,464,180</t>
  </si>
  <si>
    <t>6,392  Kg</t>
  </si>
  <si>
    <t>Rp 17,705,840</t>
  </si>
  <si>
    <t>upah tukang WC</t>
  </si>
  <si>
    <t>Rp 5,500,000</t>
  </si>
  <si>
    <t>belanja bahan + Angkong</t>
  </si>
  <si>
    <t>Rp 8,930,500</t>
  </si>
  <si>
    <t>20,392  Kg</t>
  </si>
  <si>
    <t>7 mobil x 500.000</t>
  </si>
  <si>
    <t>Rp 3,500,000</t>
  </si>
  <si>
    <t>Rp 53,789,260</t>
  </si>
  <si>
    <t>Rp 25,000,000</t>
  </si>
  <si>
    <t>Rp 28,789,260</t>
  </si>
  <si>
    <t>kasi anggota + mobil Dam</t>
  </si>
  <si>
    <t>300.000 + 200.000</t>
  </si>
  <si>
    <t>Rp 35,040,260</t>
  </si>
  <si>
    <t>3,880  Kg</t>
  </si>
  <si>
    <t>Rp 11,911,600</t>
  </si>
  <si>
    <t>22.834 x Rp 120</t>
  </si>
  <si>
    <t>Rp 2,740,080</t>
  </si>
  <si>
    <t>Rp 28,000,000</t>
  </si>
  <si>
    <t>6,694  Kg</t>
  </si>
  <si>
    <t>Rp 22,759,600</t>
  </si>
  <si>
    <t>22.834 x Rp 170</t>
  </si>
  <si>
    <t>Rp 3,881,780</t>
  </si>
  <si>
    <t>Rp 76,355,200</t>
  </si>
  <si>
    <t>5,411  Kg</t>
  </si>
  <si>
    <t>Rp 18,397,400</t>
  </si>
  <si>
    <t>Rp 27,543,860</t>
  </si>
  <si>
    <t>6,849  Kg</t>
  </si>
  <si>
    <t>Rp 23,286,600</t>
  </si>
  <si>
    <t>Rp 5,000,000</t>
  </si>
  <si>
    <t>7 mbl x 500.000</t>
  </si>
  <si>
    <t>22,834  Kg</t>
  </si>
  <si>
    <t>iron + lawder</t>
  </si>
  <si>
    <t>Rp 71,811,340</t>
  </si>
  <si>
    <t>Pupuk Abu</t>
  </si>
  <si>
    <t>6.290 x 2.300</t>
  </si>
  <si>
    <t>Rp 14,467,000</t>
  </si>
  <si>
    <t>Rp 57,000,000</t>
  </si>
  <si>
    <t>Rp 1,235,000</t>
  </si>
  <si>
    <t>Rp 14,811,340</t>
  </si>
  <si>
    <t>Susun Abu</t>
  </si>
  <si>
    <t>Rp 48,811,340</t>
  </si>
  <si>
    <t>Juli</t>
  </si>
  <si>
    <t>0 x Rp 120</t>
  </si>
  <si>
    <t>0 x Rp 170</t>
  </si>
  <si>
    <t>0  Kg</t>
  </si>
  <si>
    <t>Agustus</t>
  </si>
  <si>
    <t>September</t>
  </si>
  <si>
    <t>Oktober</t>
  </si>
  <si>
    <t>November</t>
  </si>
  <si>
    <t>Desember</t>
  </si>
  <si>
    <t>kategori</t>
  </si>
  <si>
    <t>biaya</t>
  </si>
  <si>
    <t>V3-BIAYA-2026-01-0001</t>
  </si>
  <si>
    <t>panen</t>
  </si>
  <si>
    <t>V3-BIAYA-2026-01-0002</t>
  </si>
  <si>
    <t>V3-BIAYA-2026-01-0003</t>
  </si>
  <si>
    <t>V3-BIAYA-2026-01-0004</t>
  </si>
  <si>
    <t>V3-BIAYA-2026-01-0005</t>
  </si>
  <si>
    <t>pupuk</t>
  </si>
  <si>
    <t>V3-BIAYA-2026-01-0006</t>
  </si>
  <si>
    <t>V3-BIAYA-2026-01-0007</t>
  </si>
  <si>
    <t>alat_bbm_mesin</t>
  </si>
  <si>
    <t>V3-BIAYA-2026-01-0008</t>
  </si>
  <si>
    <t>V3-BIAYA-2026-01-0009</t>
  </si>
  <si>
    <t>serba_serbi</t>
  </si>
  <si>
    <t>V3-BIAYA-2026-01-0010</t>
  </si>
  <si>
    <t>V3-BIAYA-2026-01-0011</t>
  </si>
  <si>
    <t>V3-BIAYA-2026-01-0012</t>
  </si>
  <si>
    <t>V3-BIAYA-2026-01-0013</t>
  </si>
  <si>
    <t>V3-BIAYA-2026-01-0014</t>
  </si>
  <si>
    <t>V3-BIAYA-2026-01-0015</t>
  </si>
  <si>
    <t>V3-BIAYA-2026-01-0016</t>
  </si>
  <si>
    <t>2026-06-07T12:09:16.103Z</t>
  </si>
  <si>
    <t>tenaga_kerja</t>
  </si>
  <si>
    <t>V3-BIAYA-2026-01-0017</t>
  </si>
  <si>
    <t>V3-BIAYA-2026-01-0018</t>
  </si>
  <si>
    <t>V3-BIAYA-2026-01-0019</t>
  </si>
  <si>
    <t>perawatan</t>
  </si>
  <si>
    <t>V3-BIAYA-2026-01-0020</t>
  </si>
  <si>
    <t>V3-BIAYA-2026-01-0021</t>
  </si>
  <si>
    <t>V3-BIAYA-2026-01-0022</t>
  </si>
  <si>
    <t>V3-BIAYA-2026-01-0023</t>
  </si>
  <si>
    <t>V3-BIAYA-2026-01-0024</t>
  </si>
  <si>
    <t>V3-BIAYA-2026-02-0001</t>
  </si>
  <si>
    <t>V3-BIAYA-2026-02-0002</t>
  </si>
  <si>
    <t>V3-BIAYA-2026-02-0003</t>
  </si>
  <si>
    <t>V3-BIAYA-2026-02-0004</t>
  </si>
  <si>
    <t>V3-BIAYA-2026-02-0005</t>
  </si>
  <si>
    <t>V3-BIAYA-2026-02-0006</t>
  </si>
  <si>
    <t>V3-BIAYA-2026-02-0007</t>
  </si>
  <si>
    <t>V3-BIAYA-2026-02-0008</t>
  </si>
  <si>
    <t>V3-BIAYA-2026-02-0009</t>
  </si>
  <si>
    <t>V3-BIAYA-2026-02-0010</t>
  </si>
  <si>
    <t>V3-BIAYA-2026-02-0011</t>
  </si>
  <si>
    <t>V3-BIAYA-2026-02-0012</t>
  </si>
  <si>
    <t>V3-BIAYA-2026-02-0013</t>
  </si>
  <si>
    <t>V3-BIAYA-2026-02-0014</t>
  </si>
  <si>
    <t>V3-BIAYA-2026-02-0015</t>
  </si>
  <si>
    <t>V3-BIAYA-2026-02-0016</t>
  </si>
  <si>
    <t>V3-BIAYA-2026-02-0017</t>
  </si>
  <si>
    <t>V3-BIAYA-2026-02-0018</t>
  </si>
  <si>
    <t>V3-BIAYA-2026-02-0019</t>
  </si>
  <si>
    <t>V3-BIAYA-2026-02-0020</t>
  </si>
  <si>
    <t>V3-BIAYA-2026-02-0021</t>
  </si>
  <si>
    <t>V3-BIAYA-2026-02-0022</t>
  </si>
  <si>
    <t>V3-BIAYA-2026-02-0023</t>
  </si>
  <si>
    <t>V3-BIAYA-2026-02-0024</t>
  </si>
  <si>
    <t>V3-BIAYA-2026-02-0025</t>
  </si>
  <si>
    <t>V3-BIAYA-2026-02-0026</t>
  </si>
  <si>
    <t>V3-BIAYA-2026-02-0027</t>
  </si>
  <si>
    <t>V3-BIAYA-2026-03-0001</t>
  </si>
  <si>
    <t>V3-BIAYA-2026-03-0002</t>
  </si>
  <si>
    <t>V3-BIAYA-2026-03-0003</t>
  </si>
  <si>
    <t>V3-BIAYA-2026-03-0004</t>
  </si>
  <si>
    <t>V3-BIAYA-2026-03-0005</t>
  </si>
  <si>
    <t>V3-BIAYA-2026-03-0006</t>
  </si>
  <si>
    <t>V3-BIAYA-2026-03-0007</t>
  </si>
  <si>
    <t>V3-BIAYA-2026-03-0008</t>
  </si>
  <si>
    <t>V3-BIAYA-2026-03-0009</t>
  </si>
  <si>
    <t>V3-BIAYA-2026-03-0010</t>
  </si>
  <si>
    <t>V3-BIAYA-2026-03-0011</t>
  </si>
  <si>
    <t>V3-BIAYA-2026-03-0012</t>
  </si>
  <si>
    <t>V3-BIAYA-2026-03-0013</t>
  </si>
  <si>
    <t>V3-BIAYA-2026-03-0014</t>
  </si>
  <si>
    <t>V3-BIAYA-2026-03-0015</t>
  </si>
  <si>
    <t>V3-BIAYA-2026-03-0016</t>
  </si>
  <si>
    <t>V3-BIAYA-2026-03-0017</t>
  </si>
  <si>
    <t>V3-BIAYA-2026-03-0018</t>
  </si>
  <si>
    <t>V3-BIAYA-2026-03-0019</t>
  </si>
  <si>
    <t>V3-BIAYA-2026-03-0020</t>
  </si>
  <si>
    <t>V3-BIAYA-2026-03-0021</t>
  </si>
  <si>
    <t>V3-BIAYA-2026-03-0022</t>
  </si>
  <si>
    <t>V3-BIAYA-2026-03-0023</t>
  </si>
  <si>
    <t>V3-BIAYA-2026-03-0024</t>
  </si>
  <si>
    <t>V3-BIAYA-2026-03-0025</t>
  </si>
  <si>
    <t>V3-BIAYA-2026-03-0026</t>
  </si>
  <si>
    <t>V3-BIAYA-2026-03-0027</t>
  </si>
  <si>
    <t>V3-BIAYA-2026-03-0028</t>
  </si>
  <si>
    <t>V3-BIAYA-2026-03-0029</t>
  </si>
  <si>
    <t>V3-BIAYA-2026-03-0030</t>
  </si>
  <si>
    <t>V3-BIAYA-2026-03-0031</t>
  </si>
  <si>
    <t>V3-BIAYA-2026-03-0032</t>
  </si>
  <si>
    <t>V3-BIAYA-2026-03-0033</t>
  </si>
  <si>
    <t>V3-BIAYA-2026-03-0034</t>
  </si>
  <si>
    <t>V3-BIAYA-2026-03-0035</t>
  </si>
  <si>
    <t>V3-BIAYA-2026-03-0036</t>
  </si>
  <si>
    <t>V3-BIAYA-2026-03-0037</t>
  </si>
  <si>
    <t>V3-BIAYA-2026-03-0038</t>
  </si>
  <si>
    <t>V3-BIAYA-2026-03-0039</t>
  </si>
  <si>
    <t>V3-BIAYA-2026-03-0040</t>
  </si>
  <si>
    <t>V3-BIAYA-2026-03-0041</t>
  </si>
  <si>
    <t>V3-BIAYA-2026-03-0042</t>
  </si>
  <si>
    <t>V3-BIAYA-2026-03-0043</t>
  </si>
  <si>
    <t>V3-BIAYA-2026-03-0044</t>
  </si>
  <si>
    <t>V3-BIAYA-2026-03-0045</t>
  </si>
  <si>
    <t>V3-BIAYA-2026-03-0046</t>
  </si>
  <si>
    <t>V3-BIAYA-2026-04-0001</t>
  </si>
  <si>
    <t>V3-BIAYA-2026-04-0002</t>
  </si>
  <si>
    <t>V3-BIAYA-2026-04-0003</t>
  </si>
  <si>
    <t>V3-BIAYA-2026-04-0004</t>
  </si>
  <si>
    <t>V3-BIAYA-2026-04-0005</t>
  </si>
  <si>
    <t>V3-BIAYA-2026-04-0006</t>
  </si>
  <si>
    <t>V3-BIAYA-2026-04-0007</t>
  </si>
  <si>
    <t>V3-BIAYA-2026-04-0008</t>
  </si>
  <si>
    <t>V3-BIAYA-2026-04-0009</t>
  </si>
  <si>
    <t>V3-BIAYA-2026-04-0010</t>
  </si>
  <si>
    <t>V3-BIAYA-2026-04-0011</t>
  </si>
  <si>
    <t>V3-BIAYA-2026-04-0012</t>
  </si>
  <si>
    <t>V3-BIAYA-2026-05-0001</t>
  </si>
  <si>
    <t>V3-BIAYA-2026-05-0002</t>
  </si>
  <si>
    <t>V3-BIAYA-2026-05-0003</t>
  </si>
  <si>
    <t>V3-BIAYA-2026-05-0004</t>
  </si>
  <si>
    <t>V3-BIAYA-2026-05-0005</t>
  </si>
  <si>
    <t>V3-BIAYA-2026-05-0006</t>
  </si>
  <si>
    <t>V3-BIAYA-2026-05-0007</t>
  </si>
  <si>
    <t>V3-BIAYA-2026-05-0008</t>
  </si>
  <si>
    <t>V3-BIAYA-2026-05-0009</t>
  </si>
  <si>
    <t>V3-BIAYA-2026-05-0010</t>
  </si>
  <si>
    <t>V3-BIAYA-2026-05-0011</t>
  </si>
  <si>
    <t>V3-BIAYA-2026-05-0012</t>
  </si>
  <si>
    <t>V3-BIAYA-2026-05-0013</t>
  </si>
  <si>
    <t>V3-BIAYA-2026-05-0014</t>
  </si>
  <si>
    <t>V3-BIAYA-2026-05-0015</t>
  </si>
  <si>
    <t>V3-BIAYA-2026-05-0016</t>
  </si>
  <si>
    <t>V3-BIAYA-2026-05-0017</t>
  </si>
  <si>
    <t>V3-BIAYA-2026-05-0018</t>
  </si>
  <si>
    <t>V3-BIAYA-2026-05-0019</t>
  </si>
  <si>
    <t>V3-BIAYA-2026-05-0020</t>
  </si>
  <si>
    <t>V3-BIAYA-2026-05-0021</t>
  </si>
  <si>
    <t>V3-BIAYA-2026-05-0022</t>
  </si>
  <si>
    <t>V3-BIAYA-2026-05-0023</t>
  </si>
  <si>
    <t>V3-BIAYA-2026-05-0024</t>
  </si>
  <si>
    <t>V3-BIAYA-2026-05-0025</t>
  </si>
  <si>
    <t>V3-BIAYA-2026-05-0026</t>
  </si>
  <si>
    <t>V3-BIAYA-2026-05-0027</t>
  </si>
  <si>
    <t>V3-BIAYA-2026-06-0001</t>
  </si>
  <si>
    <t>V3-BIAYA-2026-06-0002</t>
  </si>
  <si>
    <t>V3-BIAYA-2026-06-0003</t>
  </si>
  <si>
    <t>V3-BIAYA-2026-06-0004</t>
  </si>
  <si>
    <t>V3-BIAYA-2026-06-0005</t>
  </si>
  <si>
    <t>V3-BIAYA-2026-06-0006</t>
  </si>
  <si>
    <t>V3-BIAYA-2026-06-0007</t>
  </si>
  <si>
    <t>V3-BIAYA-2026-06-0008</t>
  </si>
  <si>
    <t>V3-BIAYA-2026-06-0009</t>
  </si>
  <si>
    <t>V3-BIAYA-2026-06-0010</t>
  </si>
  <si>
    <t>2026-06-07T12:09:16.126Z</t>
  </si>
  <si>
    <t>V3-BIAYA-2026-06-0011</t>
  </si>
  <si>
    <t>V3-BIAYA-2026-06-0012</t>
  </si>
  <si>
    <t>V3-BIAYA-2026-06-0013</t>
  </si>
  <si>
    <t>V3-BIAYA-2026-06-0014</t>
  </si>
  <si>
    <t>V3-BIAYA-2026-06-0015</t>
  </si>
  <si>
    <t>V3-BIAYA-2026-06-0016</t>
  </si>
  <si>
    <t>V3-BIAYA-2026-06-0017</t>
  </si>
  <si>
    <t>V3-BIAYA-2026-06-0018</t>
  </si>
  <si>
    <t>V3-BIAYA-2026-06-0019</t>
  </si>
  <si>
    <t>V3-BIAYA-2026-06-0020</t>
  </si>
  <si>
    <t>BYA_V3INPUT_2026_6_PANEN2_20260618_222734_001</t>
  </si>
  <si>
    <t>Ongkos Mobil</t>
  </si>
  <si>
    <t>24.518 Kg × Rp 120</t>
  </si>
  <si>
    <t>BYA_V3INPUT_2026_6_PANEN2_20260618_222734_002</t>
  </si>
  <si>
    <t>Upah Panen</t>
  </si>
  <si>
    <t>24.518 Kg × Rp 170</t>
  </si>
  <si>
    <t>BYA_V3INPUT_2026_6_PANEN2_20260618_222734_003</t>
  </si>
  <si>
    <t>Brondolan</t>
  </si>
  <si>
    <t>BYA_V3INPUT_2026_6_PANEN2_20260618_222734_004</t>
  </si>
  <si>
    <t>BYA_V3INPUT_2026_6_PANEN2_20260618_222734_005</t>
  </si>
  <si>
    <t>BYA_V3INPUT_2026_6_PANEN2_20260618_222734_006</t>
  </si>
  <si>
    <t>Ijal + Anggota</t>
  </si>
  <si>
    <t>BYA_V3INPUT_2026_6_PANEN2_20260618_222734_007</t>
  </si>
  <si>
    <t>Lansir</t>
  </si>
  <si>
    <t>3 trip</t>
  </si>
  <si>
    <t>BYA_V3INPUT_2026_6_PANEN2_20260618_222734_008</t>
  </si>
  <si>
    <t>Iron jemput anggota</t>
  </si>
  <si>
    <t>BYA_V3INPUT_2026_6_PANEN2_20260618_222734_009</t>
  </si>
  <si>
    <t>Durian</t>
  </si>
  <si>
    <t>BYA_V3INPUT_2026_7_PANEN1_20260702_210109_001</t>
  </si>
  <si>
    <t>30.675 Kg × Rp 120</t>
  </si>
  <si>
    <t>BYA_V3INPUT_2026_7_PANEN1_20260702_210109_002</t>
  </si>
  <si>
    <t>30.675 Kg × Rp 170</t>
  </si>
  <si>
    <t>BYA_V3INPUT_2026_7_PANEN1_20260702_210109_003</t>
  </si>
  <si>
    <t>BYA_V3INPUT_2026_7_PANEN1_20260702_210109_004</t>
  </si>
  <si>
    <t>BYA_V3INPUT_2026_7_PANEN1_20260702_210109_005</t>
  </si>
  <si>
    <t>BYA_V3INPUT_2026_7_PANEN1_20260702_210109_006</t>
  </si>
  <si>
    <t>BYA_V3INPUT_2026_7_PANEN1_20260702_210109_007</t>
  </si>
  <si>
    <t>batu</t>
  </si>
  <si>
    <t>Pasir, Batu, Papan</t>
  </si>
  <si>
    <t>750.000 + 900.000 + 1.500.000</t>
  </si>
  <si>
    <t>BYA_V3INPUT_2026_7_PANEN1_20260702_210109_008</t>
  </si>
  <si>
    <t>6.420 Kg x 2.300</t>
  </si>
  <si>
    <t>BYA_V3INPUT_2026_7_PANEN1_20260702_210109_009</t>
  </si>
  <si>
    <t>loader + Iron</t>
  </si>
  <si>
    <t>BYA_V3INPUT_2026_7_PANEN1_20260702_210109_010</t>
  </si>
  <si>
    <t>21 x 500.000</t>
  </si>
  <si>
    <t>BYA_V3INPUT_2026_7_PANEN1_20260702_210109_011</t>
  </si>
  <si>
    <t>ganti oli hilux</t>
  </si>
  <si>
    <t>jenis_kas</t>
  </si>
  <si>
    <t>akun_sumber</t>
  </si>
  <si>
    <t>akun_tujuan</t>
  </si>
  <si>
    <t>V3-KAS-2026-01-0001</t>
  </si>
  <si>
    <t>kas_masuk</t>
  </si>
  <si>
    <t>Januari PANEN 1 - kas</t>
  </si>
  <si>
    <t>kas_kebun</t>
  </si>
  <si>
    <t>V3-KAS-2026-01-0002</t>
  </si>
  <si>
    <t>Januari PANEN 1 - pinjaman</t>
  </si>
  <si>
    <t>V3-KAS-2026-01-0003</t>
  </si>
  <si>
    <t>Januari PANEN 1 - transfer</t>
  </si>
  <si>
    <t>V3-KAS-2026-01-0004</t>
  </si>
  <si>
    <t>potong_pinjaman</t>
  </si>
  <si>
    <t>Januari PANEN 2 - potong pinjaman</t>
  </si>
  <si>
    <t>V3-KAS-2026-01-0005</t>
  </si>
  <si>
    <t>Januari PANEN 2 - transfer</t>
  </si>
  <si>
    <t>V3-KAS-2026-02-0001</t>
  </si>
  <si>
    <t>Januari PANEN 3 - kas</t>
  </si>
  <si>
    <t>V3-KAS-2026-02-0002</t>
  </si>
  <si>
    <t>Januari PANEN 3 - pinjaman</t>
  </si>
  <si>
    <t>V3-KAS-2026-02-0003</t>
  </si>
  <si>
    <t>Januari PANEN 3 - transfer</t>
  </si>
  <si>
    <t>V3-KAS-2026-02-0004</t>
  </si>
  <si>
    <t>Februari PANEN 1 - kas</t>
  </si>
  <si>
    <t>V3-KAS-2026-02-0005</t>
  </si>
  <si>
    <t>Februari PANEN 1 - potong pinjaman</t>
  </si>
  <si>
    <t>V3-KAS-2026-03-0001</t>
  </si>
  <si>
    <t>Februari PANEN 2 - kas</t>
  </si>
  <si>
    <t>V3-KAS-2026-03-0002</t>
  </si>
  <si>
    <t>Februari PANEN 2 - pinjaman</t>
  </si>
  <si>
    <t>V3-KAS-2026-03-0003</t>
  </si>
  <si>
    <t>Februari PANEN 2 - transfer</t>
  </si>
  <si>
    <t>V3-KAS-2026-03-0004</t>
  </si>
  <si>
    <t>Maret PANEN 1 - kas</t>
  </si>
  <si>
    <t>V3-KAS-2026-03-0005</t>
  </si>
  <si>
    <t>Maret PANEN 1 - pinjaman</t>
  </si>
  <si>
    <t>V3-KAS-2026-03-0006</t>
  </si>
  <si>
    <t>Maret PANEN 1 - potong pinjaman</t>
  </si>
  <si>
    <t>V3-KAS-2026-03-0007</t>
  </si>
  <si>
    <t>Maret PANEN 1 - transfer</t>
  </si>
  <si>
    <t>V3-KAS-2026-03-0008</t>
  </si>
  <si>
    <t>Maret PANEN 2 - potong pinjaman</t>
  </si>
  <si>
    <t>V3-KAS-2026-03-0009</t>
  </si>
  <si>
    <t>Maret PANEN 2 - transfer</t>
  </si>
  <si>
    <t>V3-KAS-2026-04-0001</t>
  </si>
  <si>
    <t>April PANEN 1 - pinjaman</t>
  </si>
  <si>
    <t>V3-KAS-2026-04-0002</t>
  </si>
  <si>
    <t>April PANEN 1 - transfer</t>
  </si>
  <si>
    <t>V3-KAS-2026-05-0001</t>
  </si>
  <si>
    <t>April PANEN 2 - kas</t>
  </si>
  <si>
    <t>V3-KAS-2026-05-0002</t>
  </si>
  <si>
    <t>April PANEN 2 - potong pinjaman</t>
  </si>
  <si>
    <t>V3-KAS-2026-05-0003</t>
  </si>
  <si>
    <t>April PANEN 2 - transfer</t>
  </si>
  <si>
    <t>V3-KAS-2026-05-0004</t>
  </si>
  <si>
    <t>Mei PANEN 1 - kas</t>
  </si>
  <si>
    <t>V3-KAS-2026-05-0005</t>
  </si>
  <si>
    <t>Mei PANEN 1 - pinjaman</t>
  </si>
  <si>
    <t>V3-KAS-2026-05-0006</t>
  </si>
  <si>
    <t>Mei PANEN 1 - transfer</t>
  </si>
  <si>
    <t>V3-KAS-2026-06-0001</t>
  </si>
  <si>
    <t>Mei PANEN 2 - kas</t>
  </si>
  <si>
    <t>V3-KAS-2026-06-0002</t>
  </si>
  <si>
    <t>Mei PANEN 2 - potong pinjaman</t>
  </si>
  <si>
    <t>V3-KAS-2026-06-0003</t>
  </si>
  <si>
    <t>Mei PANEN 2 - transfer</t>
  </si>
  <si>
    <t>V3-KAS-2026-06-0004</t>
  </si>
  <si>
    <t>Juni PANEN 1 - kas</t>
  </si>
  <si>
    <t>V3-KAS-2026-06-0005</t>
  </si>
  <si>
    <t>Juni PANEN 1 - pinjaman</t>
  </si>
  <si>
    <t>V3-KAS-2026-06-0006</t>
  </si>
  <si>
    <t>Juni PANEN 1 - transfer</t>
  </si>
  <si>
    <t>KAS_V3INPUT_2026_6_PANEN2_20260618_222734_001</t>
  </si>
  <si>
    <t>Juni PANEN 2 - kas</t>
  </si>
  <si>
    <t>KAS_V3INPUT_2026_6_PANEN2_20260618_222734_002</t>
  </si>
  <si>
    <t>Juni PANEN 2 - potong pinjaman</t>
  </si>
  <si>
    <t>KAS_V3INPUT_2026_6_PANEN2_20260618_222734_003</t>
  </si>
  <si>
    <t>Juni PANEN 2 - transfer</t>
  </si>
  <si>
    <t>KAS_V3INPUT_2026_7_PANEN1_20260702_210109_001</t>
  </si>
  <si>
    <t>Juli PANEN 1 - kas</t>
  </si>
  <si>
    <t>KAS_V3INPUT_2026_7_PANEN1_20260702_210109_002</t>
  </si>
  <si>
    <t>Juli PANEN 1 - pinjaman</t>
  </si>
  <si>
    <t>KAS_V3INPUT_2026_7_PANEN1_20260702_210109_003</t>
  </si>
  <si>
    <t>Juli PANEN 1 - transfer</t>
  </si>
  <si>
    <t>jenis_pupuk</t>
  </si>
  <si>
    <t>dosis</t>
  </si>
  <si>
    <t>status_realisasi</t>
  </si>
  <si>
    <t>satuan</t>
  </si>
  <si>
    <t>blok_area</t>
  </si>
  <si>
    <t>PUPUK_V3PUPUK_2026_1_20260609_080733_001</t>
  </si>
  <si>
    <t>Dolomit</t>
  </si>
  <si>
    <t>Selesai</t>
  </si>
  <si>
    <t>semester 1</t>
  </si>
  <si>
    <t>INPUT_PEMUPUKAN_V3</t>
  </si>
  <si>
    <t>V3PUPUK_2026_1_20260609_080733</t>
  </si>
  <si>
    <t>sak</t>
  </si>
  <si>
    <t>semua</t>
  </si>
  <si>
    <t>PUPUK_V3PUPUK_2026_6_20260611_114318_001</t>
  </si>
  <si>
    <t>RP</t>
  </si>
  <si>
    <t>V3PUPUK_2026_6_20260611_114318</t>
  </si>
  <si>
    <t>PUPUK_V3PUPUK_2026_2_20260612_102401_001</t>
  </si>
  <si>
    <t>V3PUPUK_2026_2_20260612_102401</t>
  </si>
  <si>
    <t>PUPUK_V3PUPUK_2026_2_20260612_181231_001</t>
  </si>
  <si>
    <t>Borate</t>
  </si>
  <si>
    <t>V3PUPUK_2026_2_20260612_181231</t>
  </si>
  <si>
    <t>PUPUK_V3PUPUK_2026_4_20260612_204833_001</t>
  </si>
  <si>
    <t>Abu Jangkos / KCL Abu</t>
  </si>
  <si>
    <t>V3PUPUK_2026_4_20260612_204833</t>
  </si>
  <si>
    <t>kg</t>
  </si>
  <si>
    <t>PUPUK_V3PUPUK_2026_5_20260612_205026_001</t>
  </si>
  <si>
    <t>Humat</t>
  </si>
  <si>
    <t>V3PUPUK_2026_5_20260612_205026</t>
  </si>
  <si>
    <t>PUPUK_V3PUPUK_2026_5_20260612_205246_001</t>
  </si>
  <si>
    <t>Amonium Klorida</t>
  </si>
  <si>
    <t>V3PUPUK_2026_5_20260612_205246</t>
  </si>
  <si>
    <t>PUPUK_V3PUPUK_2026_7_20260702_212108_001</t>
  </si>
  <si>
    <t>Abu Jangkos</t>
  </si>
  <si>
    <t>V3PUPUK_2026_7_20260702_212108</t>
  </si>
  <si>
    <t>Juli PANEN 2</t>
  </si>
  <si>
    <t>Agustus PANEN 1</t>
  </si>
  <si>
    <t>Agustus PANEN 2</t>
  </si>
  <si>
    <t>September PANEN 1</t>
  </si>
  <si>
    <t>September PANEN 2</t>
  </si>
  <si>
    <t>Oktober PANEN 1</t>
  </si>
  <si>
    <t>Oktober PANEN 2</t>
  </si>
  <si>
    <t>November PANEN 1</t>
  </si>
  <si>
    <t>November PANEN 2</t>
  </si>
  <si>
    <t>Desember PANEN 1</t>
  </si>
  <si>
    <t>Desember PANEN 2</t>
  </si>
  <si>
    <t>pupuk NPK</t>
  </si>
  <si>
    <t>25 karung x 395.000</t>
  </si>
  <si>
    <t>serba serbi</t>
  </si>
  <si>
    <t>gaji</t>
  </si>
  <si>
    <t>biaya pupuk</t>
  </si>
  <si>
    <t>alat berat</t>
  </si>
  <si>
    <t>biaya_lain</t>
  </si>
  <si>
    <t>gaji + premi along</t>
  </si>
  <si>
    <t>146 karung x 50.000</t>
  </si>
  <si>
    <t>archive_source</t>
  </si>
  <si>
    <t>ARCH2025_JUAL_01_P1</t>
  </si>
  <si>
    <t>Januari - Panen 1</t>
  </si>
  <si>
    <t>SOURCE_2025_HARIAN</t>
  </si>
  <si>
    <t>V3_ARCHIVE_SEPARATE_STORAGE_3_IMPORT_SAFE</t>
  </si>
  <si>
    <t>ARCH2025_JUAL_01_P2</t>
  </si>
  <si>
    <t>Januari - Panen 2</t>
  </si>
  <si>
    <t>ARCH2025_JUAL_02_P1</t>
  </si>
  <si>
    <t>Februari - Panen 1</t>
  </si>
  <si>
    <t>ARCH2025_JUAL_02_P2</t>
  </si>
  <si>
    <t>Februari - Panen 2</t>
  </si>
  <si>
    <t>ARCH2025_JUAL_03_P1</t>
  </si>
  <si>
    <t>Maret - Panen 1</t>
  </si>
  <si>
    <t>ARCH2025_JUAL_03_P2</t>
  </si>
  <si>
    <t>Maret - Panen 2</t>
  </si>
  <si>
    <t>ARCH2025_JUAL_04_P1</t>
  </si>
  <si>
    <t>April - Panen 1</t>
  </si>
  <si>
    <t>ARCH2025_JUAL_04_P2</t>
  </si>
  <si>
    <t>April - Panen 2</t>
  </si>
  <si>
    <t>ARCH2025_JUAL_05_P1</t>
  </si>
  <si>
    <t>Mei - Panen 1</t>
  </si>
  <si>
    <t>ARCH2025_JUAL_05_P2</t>
  </si>
  <si>
    <t>Mei - Panen 2</t>
  </si>
  <si>
    <t>ARCH2025_JUAL_06_P1</t>
  </si>
  <si>
    <t>Juni - Panen 1</t>
  </si>
  <si>
    <t>ARCH2025_JUAL_06_P2</t>
  </si>
  <si>
    <t>Juni - Panen 2</t>
  </si>
  <si>
    <t>ARCH2025_JUAL_07_P1</t>
  </si>
  <si>
    <t>Juli - Panen 1</t>
  </si>
  <si>
    <t>ARCH2025_JUAL_07_P2</t>
  </si>
  <si>
    <t>Juli - Panen 2</t>
  </si>
  <si>
    <t>ARCH2025_JUAL_08_P1</t>
  </si>
  <si>
    <t>Agustus - Panen 1</t>
  </si>
  <si>
    <t>ARCH2025_JUAL_08_P2</t>
  </si>
  <si>
    <t>Agustus - Panen 2</t>
  </si>
  <si>
    <t>ARCH2025_JUAL_09_P1</t>
  </si>
  <si>
    <t>September - Panen 1</t>
  </si>
  <si>
    <t>ARCH2025_JUAL_09_P2</t>
  </si>
  <si>
    <t>September - Panen 2</t>
  </si>
  <si>
    <t>ARCH2025_JUAL_10_P1</t>
  </si>
  <si>
    <t>Oktober - Panen 1</t>
  </si>
  <si>
    <t>ARCH2025_JUAL_10_P2</t>
  </si>
  <si>
    <t>Oktober - Panen 2</t>
  </si>
  <si>
    <t>ARCH2025_JUAL_11_P1</t>
  </si>
  <si>
    <t>November - Panen 1</t>
  </si>
  <si>
    <t>ARCH2025_JUAL_11_P2</t>
  </si>
  <si>
    <t>November - Panen 2</t>
  </si>
  <si>
    <t>ARCH2025_JUAL_12_P1</t>
  </si>
  <si>
    <t>Desember - Panen 1</t>
  </si>
  <si>
    <t>ARCH2025_JUAL_12_P2</t>
  </si>
  <si>
    <t>Desember - Panen 2</t>
  </si>
  <si>
    <t>IMP2024_PENJUALAN_000001</t>
  </si>
  <si>
    <t>IMPORT_ARCHIVE_2024_USING_2025_PATTERN_STAGE_A</t>
  </si>
  <si>
    <t>V3_CLEAN_FULL_REWRITE_ACTIVE_ARCHIVE_SAFE</t>
  </si>
  <si>
    <t>IMPORT_ARCHIVE_2024_USING_2025_PATTERN</t>
  </si>
  <si>
    <t>IMPORT_ARCHIVE_2024</t>
  </si>
  <si>
    <t>IMPORT_ARCHIVE_2024_20260612_201620</t>
  </si>
  <si>
    <t>IMP2024_PENJUALAN_000002</t>
  </si>
  <si>
    <t>IMP2024_PENJUALAN_000003</t>
  </si>
  <si>
    <t>IMP2024_PENJUALAN_000004</t>
  </si>
  <si>
    <t>IMP2024_PENJUALAN_000005</t>
  </si>
  <si>
    <t>IMP2024_PENJUALAN_000006</t>
  </si>
  <si>
    <t>IMP2024_PENJUALAN_000007</t>
  </si>
  <si>
    <t>IMP2024_PENJUALAN_000008</t>
  </si>
  <si>
    <t>IMP2024_PENJUALAN_000009</t>
  </si>
  <si>
    <t>IMP2024_PENJUALAN_000010</t>
  </si>
  <si>
    <t>IMP2024_PENJUALAN_000011</t>
  </si>
  <si>
    <t>IMP2024_PENJUALAN_000012</t>
  </si>
  <si>
    <t>IMP2024_PENJUALAN_000013</t>
  </si>
  <si>
    <t>IMP2024_PENJUALAN_000014</t>
  </si>
  <si>
    <t>IMP2024_PENJUALAN_000015</t>
  </si>
  <si>
    <t>IMP2024_PENJUALAN_000016</t>
  </si>
  <si>
    <t>IMP2024_PENJUALAN_000017</t>
  </si>
  <si>
    <t>IMP2024_PENJUALAN_000018</t>
  </si>
  <si>
    <t>IMP2024_PENJUALAN_000019</t>
  </si>
  <si>
    <t>IMP2024_PENJUALAN_000020</t>
  </si>
  <si>
    <t>IMP2024_PENJUALAN_000021</t>
  </si>
  <si>
    <t>IMP2024_PENJUALAN_000022</t>
  </si>
  <si>
    <t>IMP2024_PENJUALAN_000023</t>
  </si>
  <si>
    <t>IMP2024_PENJUALAN_000024</t>
  </si>
  <si>
    <t>IMP2024_PENJUALAN_000025</t>
  </si>
  <si>
    <t>IMP2024_PENJUALAN_000026</t>
  </si>
  <si>
    <t>IMP2024_PENJUALAN_000027</t>
  </si>
  <si>
    <t>IMP2024_PENJUALAN_000028</t>
  </si>
  <si>
    <t>IMP2024_PENJUALAN_000029</t>
  </si>
  <si>
    <t>IMP2024_PENJUALAN_000030</t>
  </si>
  <si>
    <t>IMP2024_PENJUALAN_000031</t>
  </si>
  <si>
    <t>IMP2024_PENJUALAN_000032</t>
  </si>
  <si>
    <t>IMP2024_PENJUALAN_000033</t>
  </si>
  <si>
    <t>IMP2024_PENJUALAN_000034</t>
  </si>
  <si>
    <t>IMP2024_PENJUALAN_000035</t>
  </si>
  <si>
    <t>IMP2024_PENJUALAN_000036</t>
  </si>
  <si>
    <t>IMP2024_PENJUALAN_000037</t>
  </si>
  <si>
    <t>IMP2024_PENJUALAN_000038</t>
  </si>
  <si>
    <t>IMP2024_PENJUALAN_000039</t>
  </si>
  <si>
    <t>IMP2024_PENJUALAN_000040</t>
  </si>
  <si>
    <t>IMP2024_PENJUALAN_000041</t>
  </si>
  <si>
    <t>IMP2024_PENJUALAN_000042</t>
  </si>
  <si>
    <t>IMP2024_PENJUALAN_000043</t>
  </si>
  <si>
    <t>IMP2024_PENJUALAN_000044</t>
  </si>
  <si>
    <t>IMP2024_PENJUALAN_000045</t>
  </si>
  <si>
    <t>IMP2024_PENJUALAN_000046</t>
  </si>
  <si>
    <t>IMP2024_PENJUALAN_000047</t>
  </si>
  <si>
    <t>IMP2024_PENJUALAN_000048</t>
  </si>
  <si>
    <t>IMP2024_PENJUALAN_000049</t>
  </si>
  <si>
    <t>IMP2024_PENJUALAN_000050</t>
  </si>
  <si>
    <t>IMP2024_PENJUALAN_000051</t>
  </si>
  <si>
    <t>IMP2024_PENJUALAN_000052</t>
  </si>
  <si>
    <t>IMP2024_PENJUALAN_000053</t>
  </si>
  <si>
    <t>IMP2024_PENJUALAN_000054</t>
  </si>
  <si>
    <t>IMP2024_PENJUALAN_000055</t>
  </si>
  <si>
    <t>IMP2024_PENJUALAN_000056</t>
  </si>
  <si>
    <t>IMP2024_PENJUALAN_000057</t>
  </si>
  <si>
    <t>IMP2024_PENJUALAN_000058</t>
  </si>
  <si>
    <t>IMP2024_PENJUALAN_000059</t>
  </si>
  <si>
    <t>IMP2024_PENJUALAN_000060</t>
  </si>
  <si>
    <t>IMP2024_PENJUALAN_000061</t>
  </si>
  <si>
    <t>IMP2024_PENJUALAN_000062</t>
  </si>
  <si>
    <t>IMP2024_PENJUALAN_000063</t>
  </si>
  <si>
    <t>IMP2024_PENJUALAN_000064</t>
  </si>
  <si>
    <t>IMP2024_PENJUALAN_000065</t>
  </si>
  <si>
    <t>IMP2024_PENJUALAN_000066</t>
  </si>
  <si>
    <t>IMP2024_PENJUALAN_000067</t>
  </si>
  <si>
    <t>IMP2024_PENJUALAN_000068</t>
  </si>
  <si>
    <t>IMP2024_PENJUALAN_000069</t>
  </si>
  <si>
    <t>IMP2024_PENJUALAN_000070</t>
  </si>
  <si>
    <t>IMP2024_PENJUALAN_000071</t>
  </si>
  <si>
    <t>IMP2024_PENJUALAN_000072</t>
  </si>
  <si>
    <t>IMP2024_PENJUALAN_000073</t>
  </si>
  <si>
    <t>IMP2024_PENJUALAN_000074</t>
  </si>
  <si>
    <t>IMP2024_PENJUALAN_000075</t>
  </si>
  <si>
    <t>ARCH2025_BIAYA_01_P1_0001</t>
  </si>
  <si>
    <t>11.887 x 120</t>
  </si>
  <si>
    <t>ARCH2025_BIAYA_01_P1_0002</t>
  </si>
  <si>
    <t>11.887 x 170</t>
  </si>
  <si>
    <t>ARCH2025_BIAYA_01_P1_0003</t>
  </si>
  <si>
    <t>ARCH2025_BIAYA_01_P1_0004</t>
  </si>
  <si>
    <t>ARCH2025_BIAYA_01_P1_0005</t>
  </si>
  <si>
    <t>ganti oli</t>
  </si>
  <si>
    <t>ARCH2025_BIAYA_01_P1_0006</t>
  </si>
  <si>
    <t>ARCH2025_BIAYA_01_P1_0007</t>
  </si>
  <si>
    <t>egrek</t>
  </si>
  <si>
    <t>ARCH2025_BIAYA_01_P1_0008</t>
  </si>
  <si>
    <t>ARCH2025_BIAYA_01_P1_0009</t>
  </si>
  <si>
    <t>ARCH2025_BIAYA_01_P1_0010</t>
  </si>
  <si>
    <t>ARCH2025_BIAYA_01_P1_0011</t>
  </si>
  <si>
    <t>lampu</t>
  </si>
  <si>
    <t>ARCH2025_BIAYA_01_P1_0012</t>
  </si>
  <si>
    <t>berobat</t>
  </si>
  <si>
    <t>ARCH2025_BIAYA_01_P2_0013</t>
  </si>
  <si>
    <t>14.299 x 120</t>
  </si>
  <si>
    <t>ARCH2025_BIAYA_01_P2_0014</t>
  </si>
  <si>
    <t>14.299 x 170</t>
  </si>
  <si>
    <t>ARCH2025_BIAYA_01_P2_0015</t>
  </si>
  <si>
    <t>ARCH2025_BIAYA_01_P2_0016</t>
  </si>
  <si>
    <t>ARCH2025_BIAYA_01_P2_0017</t>
  </si>
  <si>
    <t>ARCH2025_BIAYA_01_P2_0018</t>
  </si>
  <si>
    <t>ARCH2025_BIAYA_01_P2_0019</t>
  </si>
  <si>
    <t>ARCH2025_BIAYA_01_P2_0020</t>
  </si>
  <si>
    <t>ARCH2025_BIAYA_01_P2_0021</t>
  </si>
  <si>
    <t>ARCH2025_BIAYA_02_P1_0022</t>
  </si>
  <si>
    <t>11.609 x 120</t>
  </si>
  <si>
    <t>ARCH2025_BIAYA_02_P1_0023</t>
  </si>
  <si>
    <t>11.609 x 170</t>
  </si>
  <si>
    <t>ARCH2025_BIAYA_02_P1_0024</t>
  </si>
  <si>
    <t>ARCH2025_BIAYA_02_P1_0025</t>
  </si>
  <si>
    <t>ARCH2025_BIAYA_02_P1_0026</t>
  </si>
  <si>
    <t>papan</t>
  </si>
  <si>
    <t>ARCH2025_BIAYA_02_P1_0027</t>
  </si>
  <si>
    <t>ARCH2025_BIAYA_02_P1_0028</t>
  </si>
  <si>
    <t>pasir kem</t>
  </si>
  <si>
    <t>ARCH2025_BIAYA_02_P1_0029</t>
  </si>
  <si>
    <t>ARCH2025_BIAYA_02_P1_0030</t>
  </si>
  <si>
    <t>ARCH2025_BIAYA_02_P1_0031</t>
  </si>
  <si>
    <t>130 karrung x 50.000</t>
  </si>
  <si>
    <t>ARCH2025_BIAYA_02_P1_0032</t>
  </si>
  <si>
    <t>ARCH2025_BIAYA_02_P1_0033</t>
  </si>
  <si>
    <t>pajak mobil</t>
  </si>
  <si>
    <t>ARCH2025_BIAYA_02_P1_0034</t>
  </si>
  <si>
    <t>ARCH2025_BIAYA_02_P2_0035</t>
  </si>
  <si>
    <t>13.123 x 120</t>
  </si>
  <si>
    <t>ARCH2025_BIAYA_02_P2_0036</t>
  </si>
  <si>
    <t>13.123 x 170</t>
  </si>
  <si>
    <t>ARCH2025_BIAYA_02_P2_0037</t>
  </si>
  <si>
    <t>ARCH2025_BIAYA_02_P2_0038</t>
  </si>
  <si>
    <t>ARCH2025_BIAYA_02_P2_0039</t>
  </si>
  <si>
    <t>ARCH2025_BIAYA_02_P2_0040</t>
  </si>
  <si>
    <t>kayu</t>
  </si>
  <si>
    <t>ARCH2025_BIAYA_02_P2_0041</t>
  </si>
  <si>
    <t>proposal</t>
  </si>
  <si>
    <t>ARCH2025_BIAYA_02_P2_0042</t>
  </si>
  <si>
    <t>ARCH2025_BIAYA_02_P2_0043</t>
  </si>
  <si>
    <t>ARCH2025_BIAYA_02_P2_0044</t>
  </si>
  <si>
    <t>ARCH2025_BIAYA_02_P2_0045</t>
  </si>
  <si>
    <t>16 mobil x 500.000</t>
  </si>
  <si>
    <t>ARCH2025_BIAYA_02_P2_0046</t>
  </si>
  <si>
    <t>minyak robin</t>
  </si>
  <si>
    <t>ARCH2025_BIAYA_03_P1_0047</t>
  </si>
  <si>
    <t>14.724 x 120</t>
  </si>
  <si>
    <t>ARCH2025_BIAYA_03_P1_0048</t>
  </si>
  <si>
    <t>14.724 x 170</t>
  </si>
  <si>
    <t>ARCH2025_BIAYA_03_P1_0049</t>
  </si>
  <si>
    <t>ARCH2025_BIAYA_03_P1_0050</t>
  </si>
  <si>
    <t>ARCH2025_BIAYA_03_P1_0051</t>
  </si>
  <si>
    <t>ARCH2025_BIAYA_03_P1_0052</t>
  </si>
  <si>
    <t>KIR, paku, Oli</t>
  </si>
  <si>
    <t>ARCH2025_BIAYA_03_P1_0053</t>
  </si>
  <si>
    <t>ARCH2025_BIAYA_03_P1_0054</t>
  </si>
  <si>
    <t>140 karung x 135.000</t>
  </si>
  <si>
    <t>ARCH2025_BIAYA_03_P1_0055</t>
  </si>
  <si>
    <t>ARCH2025_BIAYA_03_P1_0056</t>
  </si>
  <si>
    <t>ARCH2025_BIAYA_03_P1_0057</t>
  </si>
  <si>
    <t>besi</t>
  </si>
  <si>
    <t>ARCH2025_BIAYA_03_P1_0058</t>
  </si>
  <si>
    <t>alat_berat</t>
  </si>
  <si>
    <t>ARCH2025_BIAYA_03_P1_0059</t>
  </si>
  <si>
    <t>ARCH2025_BIAYA_03_P1_0060</t>
  </si>
  <si>
    <t>konsen kem</t>
  </si>
  <si>
    <t>ARCH2025_BIAYA_03_P1_0061</t>
  </si>
  <si>
    <t>senter</t>
  </si>
  <si>
    <t>ARCH2025_BIAYA_03_P2_0062</t>
  </si>
  <si>
    <t>13.832 x 120</t>
  </si>
  <si>
    <t>ARCH2025_BIAYA_03_P2_0063</t>
  </si>
  <si>
    <t>13.832 x 170</t>
  </si>
  <si>
    <t>ARCH2025_BIAYA_03_P2_0064</t>
  </si>
  <si>
    <t>ARCH2025_BIAYA_03_P2_0065</t>
  </si>
  <si>
    <t>ARCH2025_BIAYA_03_P2_0066</t>
  </si>
  <si>
    <t>ARCH2025_BIAYA_03_P2_0067</t>
  </si>
  <si>
    <t>ARCH2025_BIAYA_03_P2_0068</t>
  </si>
  <si>
    <t>165 karung x 25.000</t>
  </si>
  <si>
    <t>ARCH2025_BIAYA_03_P2_0069</t>
  </si>
  <si>
    <t>ARCH2025_BIAYA_03_P2_0070</t>
  </si>
  <si>
    <t>ARCH2025_BIAYA_03_P2_0071</t>
  </si>
  <si>
    <t>ARCH2025_BIAYA_03_P2_0072</t>
  </si>
  <si>
    <t>ARCH2025_BIAYA_03_P2_0073</t>
  </si>
  <si>
    <t>tojok</t>
  </si>
  <si>
    <t>ARCH2025_BIAYA_04_P1_0074</t>
  </si>
  <si>
    <t>24.197 x 120</t>
  </si>
  <si>
    <t>ARCH2025_BIAYA_04_P1_0075</t>
  </si>
  <si>
    <t>24.197 x 170</t>
  </si>
  <si>
    <t>ARCH2025_BIAYA_04_P1_0076</t>
  </si>
  <si>
    <t>ARCH2025_BIAYA_04_P1_0077</t>
  </si>
  <si>
    <t>ARCH2025_BIAYA_04_P1_0078</t>
  </si>
  <si>
    <t>ARCH2025_BIAYA_04_P1_0079</t>
  </si>
  <si>
    <t>THR + minum</t>
  </si>
  <si>
    <t>ARCH2025_BIAYA_04_P1_0080</t>
  </si>
  <si>
    <t>konsen + ganti ban</t>
  </si>
  <si>
    <t>ARCH2025_BIAYA_04_P1_0081</t>
  </si>
  <si>
    <t>ARCH2025_BIAYA_04_P1_0082</t>
  </si>
  <si>
    <t>ARCH2025_BIAYA_04_P1_0083</t>
  </si>
  <si>
    <t>ARCH2025_BIAYA_04_P1_0084</t>
  </si>
  <si>
    <t>ARCH2025_BIAYA_04_P1_0085</t>
  </si>
  <si>
    <t>perumahan</t>
  </si>
  <si>
    <t>ARCH2025_BIAYA_04_P1_0086</t>
  </si>
  <si>
    <t>ARCH2025_BIAYA_04_P1_0087</t>
  </si>
  <si>
    <t>95 karung x 365.000</t>
  </si>
  <si>
    <t>ARCH2025_BIAYA_04_P1_0088</t>
  </si>
  <si>
    <t>19 karung x 385.000</t>
  </si>
  <si>
    <t>ARCH2025_BIAYA_04_P2_0089</t>
  </si>
  <si>
    <t>33.431 x 120</t>
  </si>
  <si>
    <t>ARCH2025_BIAYA_04_P2_0090</t>
  </si>
  <si>
    <t>33.431 x 170</t>
  </si>
  <si>
    <t>ARCH2025_BIAYA_04_P2_0091</t>
  </si>
  <si>
    <t>ARCH2025_BIAYA_04_P2_0092</t>
  </si>
  <si>
    <t>ARCH2025_BIAYA_04_P2_0093</t>
  </si>
  <si>
    <t>ARCH2025_BIAYA_04_P2_0094</t>
  </si>
  <si>
    <t>ARCH2025_BIAYA_04_P2_0095</t>
  </si>
  <si>
    <t>ARCH2025_BIAYA_04_P2_0096</t>
  </si>
  <si>
    <t>gaji along, ijal + THR</t>
  </si>
  <si>
    <t>ARCH2025_BIAYA_04_P2_0097</t>
  </si>
  <si>
    <t>ARCH2025_BIAYA_04_P2_0098</t>
  </si>
  <si>
    <t>ARCH2025_BIAYA_04_P2_0099</t>
  </si>
  <si>
    <t>ARCH2025_BIAYA_04_P2_0100</t>
  </si>
  <si>
    <t>ARCH2025_BIAYA_05_P1_0101</t>
  </si>
  <si>
    <t>23.107 x 120</t>
  </si>
  <si>
    <t>ARCH2025_BIAYA_05_P1_0102</t>
  </si>
  <si>
    <t>23.107 x 170</t>
  </si>
  <si>
    <t>ARCH2025_BIAYA_05_P1_0103</t>
  </si>
  <si>
    <t>ARCH2025_BIAYA_05_P1_0104</t>
  </si>
  <si>
    <t>ARCH2025_BIAYA_05_P1_0105</t>
  </si>
  <si>
    <t>10 mbl x 500000</t>
  </si>
  <si>
    <t>ARCH2025_BIAYA_05_P1_0106</t>
  </si>
  <si>
    <t>pupuk KCL</t>
  </si>
  <si>
    <t>95 krg x 360.000</t>
  </si>
  <si>
    <t>ARCH2025_BIAYA_05_P1_0107</t>
  </si>
  <si>
    <t>95 krg x 25.000</t>
  </si>
  <si>
    <t>ARCH2025_BIAYA_05_P1_0108</t>
  </si>
  <si>
    <t>ARCH2025_BIAYA_05_P1_0109</t>
  </si>
  <si>
    <t>susun pupuk</t>
  </si>
  <si>
    <t>ARCH2025_BIAYA_05_P1_0110</t>
  </si>
  <si>
    <t>ARCH2025_BIAYA_05_P1_0111</t>
  </si>
  <si>
    <t>ARCH2025_BIAYA_05_P1_0112</t>
  </si>
  <si>
    <t>sumbangan jalan</t>
  </si>
  <si>
    <t>ARCH2025_BIAYA_05_P1_0113</t>
  </si>
  <si>
    <t>ARCH2025_BIAYA_05_P1_0114</t>
  </si>
  <si>
    <t>ARCH2025_BIAYA_05_P1_0115</t>
  </si>
  <si>
    <t>paku</t>
  </si>
  <si>
    <t>ARCH2025_BIAYA_05_P2_0116</t>
  </si>
  <si>
    <t>16.806 x 120</t>
  </si>
  <si>
    <t>ARCH2025_BIAYA_05_P2_0117</t>
  </si>
  <si>
    <t>16.806 x 170</t>
  </si>
  <si>
    <t>ARCH2025_BIAYA_05_P2_0118</t>
  </si>
  <si>
    <t>ARCH2025_BIAYA_05_P2_0119</t>
  </si>
  <si>
    <t>ARCH2025_BIAYA_05_P2_0120</t>
  </si>
  <si>
    <t>oli + service hilux</t>
  </si>
  <si>
    <t>ARCH2025_BIAYA_05_P2_0121</t>
  </si>
  <si>
    <t>dodos</t>
  </si>
  <si>
    <t>ARCH2025_BIAYA_05_P2_0122</t>
  </si>
  <si>
    <t>41 mbl x 500.000</t>
  </si>
  <si>
    <t>ARCH2025_BIAYA_05_P2_0123</t>
  </si>
  <si>
    <t>gorong gorong</t>
  </si>
  <si>
    <t>ARCH2025_BIAYA_05_P2_0124</t>
  </si>
  <si>
    <t>ARCH2025_BIAYA_05_P2_0125</t>
  </si>
  <si>
    <t>ARCH2025_BIAYA_05_P2_0126</t>
  </si>
  <si>
    <t>ARCH2025_BIAYA_05_P2_0127</t>
  </si>
  <si>
    <t>ARCH2025_BIAYA_05_P2_0128</t>
  </si>
  <si>
    <t>ARCH2025_BIAYA_05_P2_0129</t>
  </si>
  <si>
    <t>ARCH2025_BIAYA_06_P1_0130</t>
  </si>
  <si>
    <t>17.188 x 120</t>
  </si>
  <si>
    <t>ARCH2025_BIAYA_06_P1_0131</t>
  </si>
  <si>
    <t>17.188 x 170</t>
  </si>
  <si>
    <t>ARCH2025_BIAYA_06_P1_0132</t>
  </si>
  <si>
    <t>ARCH2025_BIAYA_06_P1_0133</t>
  </si>
  <si>
    <t>ARCH2025_BIAYA_06_P1_0134</t>
  </si>
  <si>
    <t>60 mobil</t>
  </si>
  <si>
    <t>ARCH2025_BIAYA_06_P1_0135</t>
  </si>
  <si>
    <t>ARCH2025_BIAYA_06_P1_0136</t>
  </si>
  <si>
    <t>ARCH2025_BIAYA_06_P1_0137</t>
  </si>
  <si>
    <t>ARCH2025_BIAYA_06_P2_0138</t>
  </si>
  <si>
    <t>16.989 x 120</t>
  </si>
  <si>
    <t>ARCH2025_BIAYA_06_P2_0139</t>
  </si>
  <si>
    <t>16.989 x 170</t>
  </si>
  <si>
    <t>ARCH2025_BIAYA_06_P2_0140</t>
  </si>
  <si>
    <t>ARCH2025_BIAYA_06_P2_0141</t>
  </si>
  <si>
    <t>ARCH2025_BIAYA_06_P2_0142</t>
  </si>
  <si>
    <t>ARCH2025_BIAYA_06_P2_0143</t>
  </si>
  <si>
    <t>63 mbl</t>
  </si>
  <si>
    <t>ARCH2025_BIAYA_06_P2_0144</t>
  </si>
  <si>
    <t>ARCH2025_BIAYA_06_P2_0145</t>
  </si>
  <si>
    <t>ARCH2025_BIAYA_06_P2_0146</t>
  </si>
  <si>
    <t>batoko</t>
  </si>
  <si>
    <t>ARCH2025_BIAYA_06_P2_0147</t>
  </si>
  <si>
    <t>bongkar batako</t>
  </si>
  <si>
    <t>ARCH2025_BIAYA_06_P2_0148</t>
  </si>
  <si>
    <t>babat,mata pisau</t>
  </si>
  <si>
    <t>ARCH2025_BIAYA_06_P2_0149</t>
  </si>
  <si>
    <t>ARCH2025_BIAYA_06_P2_0150</t>
  </si>
  <si>
    <t>kampas mobil</t>
  </si>
  <si>
    <t>ARCH2025_BIAYA_07_P1_0151</t>
  </si>
  <si>
    <t>17.948 x 120</t>
  </si>
  <si>
    <t>ARCH2025_BIAYA_07_P1_0152</t>
  </si>
  <si>
    <t>17.948 x 170</t>
  </si>
  <si>
    <t>ARCH2025_BIAYA_07_P1_0153</t>
  </si>
  <si>
    <t>ARCH2025_BIAYA_07_P1_0154</t>
  </si>
  <si>
    <t>ARCH2025_BIAYA_07_P1_0155</t>
  </si>
  <si>
    <t>ARCH2025_BIAYA_07_P1_0156</t>
  </si>
  <si>
    <t>ARCH2025_BIAYA_07_P1_0157</t>
  </si>
  <si>
    <t>ARCH2025_BIAYA_07_P2_0158</t>
  </si>
  <si>
    <t>19.270 x 120</t>
  </si>
  <si>
    <t>ARCH2025_BIAYA_07_P2_0159</t>
  </si>
  <si>
    <t>19.270 x 170</t>
  </si>
  <si>
    <t>ARCH2025_BIAYA_07_P2_0160</t>
  </si>
  <si>
    <t>ARCH2025_BIAYA_07_P2_0161</t>
  </si>
  <si>
    <t>ARCH2025_BIAYA_07_P2_0162</t>
  </si>
  <si>
    <t>uang bawa dari kebun</t>
  </si>
  <si>
    <t>ARCH2025_BIAYA_07_P2_0163</t>
  </si>
  <si>
    <t>ganti oli mobil</t>
  </si>
  <si>
    <t>ARCH2025_BIAYA_07_P2_0164</t>
  </si>
  <si>
    <t>besi,semen,paku</t>
  </si>
  <si>
    <t>ARCH2025_BIAYA_07_P2_0165</t>
  </si>
  <si>
    <t>ARCH2025_BIAYA_07_P2_0166</t>
  </si>
  <si>
    <t>ARCH2025_BIAYA_07_P2_0167</t>
  </si>
  <si>
    <t>ongkos besi,kayu,tukang</t>
  </si>
  <si>
    <t>ARCH2025_BIAYA_07_P2_0168</t>
  </si>
  <si>
    <t>ARCH2025_BIAYA_07_P2_0169</t>
  </si>
  <si>
    <t>ARCH2025_BIAYA_07_P2_0170</t>
  </si>
  <si>
    <t>ARCH2025_BIAYA_07_P2_0171</t>
  </si>
  <si>
    <t>servis mesin mata pisau</t>
  </si>
  <si>
    <t>ARCH2025_BIAYA_08_P1_0172</t>
  </si>
  <si>
    <t>18.013 x 120</t>
  </si>
  <si>
    <t>ARCH2025_BIAYA_08_P1_0173</t>
  </si>
  <si>
    <t>18.013 x 170</t>
  </si>
  <si>
    <t>ARCH2025_BIAYA_08_P1_0174</t>
  </si>
  <si>
    <t>ARCH2025_BIAYA_08_P1_0175</t>
  </si>
  <si>
    <t>ARCH2025_BIAYA_08_P1_0176</t>
  </si>
  <si>
    <t>ARCH2025_BIAYA_08_P1_0177</t>
  </si>
  <si>
    <t>puding</t>
  </si>
  <si>
    <t>ARCH2025_BIAYA_08_P1_0178</t>
  </si>
  <si>
    <t>sambung kabel</t>
  </si>
  <si>
    <t>ARCH2025_BIAYA_08_P1_0179</t>
  </si>
  <si>
    <t>aki hilux</t>
  </si>
  <si>
    <t>ARCH2025_BIAYA_08_P1_0180</t>
  </si>
  <si>
    <t>ARCH2025_BIAYA_08_P2_0181</t>
  </si>
  <si>
    <t>20.623 x 120</t>
  </si>
  <si>
    <t>ARCH2025_BIAYA_08_P2_0182</t>
  </si>
  <si>
    <t>20.623 x 170</t>
  </si>
  <si>
    <t>ARCH2025_BIAYA_08_P2_0183</t>
  </si>
  <si>
    <t>ARCH2025_BIAYA_08_P2_0184</t>
  </si>
  <si>
    <t>ARCH2025_BIAYA_08_P2_0185</t>
  </si>
  <si>
    <t>bongkar batako,berobat</t>
  </si>
  <si>
    <t>ARCH2025_BIAYA_08_P2_0186</t>
  </si>
  <si>
    <t>seng,paku,rabung</t>
  </si>
  <si>
    <t>ARCH2025_BIAYA_08_P2_0187</t>
  </si>
  <si>
    <t>Kir hilux,makan,minyak</t>
  </si>
  <si>
    <t>ARCH2025_BIAYA_08_P2_0188</t>
  </si>
  <si>
    <t>pacu jalur</t>
  </si>
  <si>
    <t>ARCH2025_BIAYA_08_P2_0189</t>
  </si>
  <si>
    <t>ARCH2025_BIAYA_08_P2_0190</t>
  </si>
  <si>
    <t>tunas harian</t>
  </si>
  <si>
    <t>ARCH2025_BIAYA_08_P2_0191</t>
  </si>
  <si>
    <t>ARCH2025_BIAYA_08_P2_0192</t>
  </si>
  <si>
    <t>gaji along ,ijal</t>
  </si>
  <si>
    <t>ARCH2025_BIAYA_08_P2_0193</t>
  </si>
  <si>
    <t>meja, kursi, cat</t>
  </si>
  <si>
    <t>ARCH2025_BIAYA_09_P1_0194</t>
  </si>
  <si>
    <t>23.404 x 120</t>
  </si>
  <si>
    <t>ARCH2025_BIAYA_09_P1_0195</t>
  </si>
  <si>
    <t>23.404 x 170</t>
  </si>
  <si>
    <t>ARCH2025_BIAYA_09_P1_0196</t>
  </si>
  <si>
    <t>ARCH2025_BIAYA_09_P1_0197</t>
  </si>
  <si>
    <t>ARCH2025_BIAYA_09_P1_0198</t>
  </si>
  <si>
    <t>ARCH2025_BIAYA_09_P1_0199</t>
  </si>
  <si>
    <t>ARCH2025_BIAYA_09_P1_0200</t>
  </si>
  <si>
    <t>semen ,paku</t>
  </si>
  <si>
    <t>ARCH2025_BIAYA_09_P1_0201</t>
  </si>
  <si>
    <t>lunas upah tukang</t>
  </si>
  <si>
    <t>ARCH2025_BIAYA_09_P1_0202</t>
  </si>
  <si>
    <t>ban hilux</t>
  </si>
  <si>
    <t>ARCH2025_BIAYA_09_P1_0203</t>
  </si>
  <si>
    <t>alat berat operator</t>
  </si>
  <si>
    <t>ARCH2025_BIAYA_09_P1_0204</t>
  </si>
  <si>
    <t>ARCH2025_BIAYA_09_P1_0205</t>
  </si>
  <si>
    <t>belanja klahar,lampu</t>
  </si>
  <si>
    <t>ARCH2025_BIAYA_09_P1_0206</t>
  </si>
  <si>
    <t>ARCH2025_BIAYA_09_P1_0207</t>
  </si>
  <si>
    <t>angsur pintu kem</t>
  </si>
  <si>
    <t>ARCH2025_BIAYA_09_P2_0208</t>
  </si>
  <si>
    <t>23.430 x 120</t>
  </si>
  <si>
    <t>ARCH2025_BIAYA_09_P2_0209</t>
  </si>
  <si>
    <t>23.430 x 170</t>
  </si>
  <si>
    <t>ARCH2025_BIAYA_09_P2_0210</t>
  </si>
  <si>
    <t>ARCH2025_BIAYA_09_P2_0211</t>
  </si>
  <si>
    <t>ARCH2025_BIAYA_09_P2_0212</t>
  </si>
  <si>
    <t>dongkrak hilux</t>
  </si>
  <si>
    <t>ARCH2025_BIAYA_09_P2_0213</t>
  </si>
  <si>
    <t>tunas sawit besar</t>
  </si>
  <si>
    <t>1318 x 4000</t>
  </si>
  <si>
    <t>ARCH2025_BIAYA_09_P2_0214</t>
  </si>
  <si>
    <t>tunas sawit kecil</t>
  </si>
  <si>
    <t>340 x 3500</t>
  </si>
  <si>
    <t>ARCH2025_BIAYA_09_P2_0215</t>
  </si>
  <si>
    <t>timbun pondasi</t>
  </si>
  <si>
    <t>ARCH2025_BIAYA_09_P2_0216</t>
  </si>
  <si>
    <t>ARCH2025_BIAYA_09_P2_0217</t>
  </si>
  <si>
    <t>ARCH2025_BIAYA_09_P2_0218</t>
  </si>
  <si>
    <t>ARCH2025_BIAYA_09_P2_0219</t>
  </si>
  <si>
    <t>angsur pintu</t>
  </si>
  <si>
    <t>ARCH2025_BIAYA_09_P2_0220</t>
  </si>
  <si>
    <t>ARCH2025_BIAYA_09_P2_0221</t>
  </si>
  <si>
    <t>ARCH2025_BIAYA_10_P1_0222</t>
  </si>
  <si>
    <t>24.803 x 120</t>
  </si>
  <si>
    <t>ARCH2025_BIAYA_10_P1_0223</t>
  </si>
  <si>
    <t>24.803 x 170</t>
  </si>
  <si>
    <t>ARCH2025_BIAYA_10_P1_0224</t>
  </si>
  <si>
    <t>ARCH2025_BIAYA_10_P1_0225</t>
  </si>
  <si>
    <t>ARCH2025_BIAYA_10_P1_0226</t>
  </si>
  <si>
    <t>125 krg x 125.000</t>
  </si>
  <si>
    <t>ARCH2025_BIAYA_10_P1_0227</t>
  </si>
  <si>
    <t>125 krg x 25.000</t>
  </si>
  <si>
    <t>ARCH2025_BIAYA_10_P1_0228</t>
  </si>
  <si>
    <t>brondolan kmrn</t>
  </si>
  <si>
    <t>ARCH2025_BIAYA_10_P1_0229</t>
  </si>
  <si>
    <t>ARCH2025_BIAYA_10_P1_0230</t>
  </si>
  <si>
    <t>semen 2x</t>
  </si>
  <si>
    <t>ARCH2025_BIAYA_10_P1_0231</t>
  </si>
  <si>
    <t>cor lantai</t>
  </si>
  <si>
    <t>ARCH2025_BIAYA_10_P1_0232</t>
  </si>
  <si>
    <t>kilometer PLN</t>
  </si>
  <si>
    <t>ARCH2025_BIAYA_10_P1_0233</t>
  </si>
  <si>
    <t>kabel rumah</t>
  </si>
  <si>
    <t>ARCH2025_BIAYA_10_P1_0234</t>
  </si>
  <si>
    <t>ARCH2025_BIAYA_10_P1_0235</t>
  </si>
  <si>
    <t>engsel,puding</t>
  </si>
  <si>
    <t>ARCH2025_BIAYA_10_P1_0236</t>
  </si>
  <si>
    <t>las angkong</t>
  </si>
  <si>
    <t>ARCH2025_BIAYA_10_P1_0237</t>
  </si>
  <si>
    <t>ARCH2025_BIAYA_10_P2_0238</t>
  </si>
  <si>
    <t>23.132 x 120</t>
  </si>
  <si>
    <t>ARCH2025_BIAYA_10_P2_0239</t>
  </si>
  <si>
    <t>23.132 x 170</t>
  </si>
  <si>
    <t>ARCH2025_BIAYA_10_P2_0240</t>
  </si>
  <si>
    <t>ARCH2025_BIAYA_10_P2_0241</t>
  </si>
  <si>
    <t>ARCH2025_BIAYA_10_P2_0242</t>
  </si>
  <si>
    <t>ARCH2025_BIAYA_10_P2_0243</t>
  </si>
  <si>
    <t>ARCH2025_BIAYA_10_P2_0244</t>
  </si>
  <si>
    <t>rokok operator</t>
  </si>
  <si>
    <t>ARCH2025_BIAYA_10_P2_0245</t>
  </si>
  <si>
    <t>premi operator</t>
  </si>
  <si>
    <t>ARCH2025_BIAYA_10_P2_0246</t>
  </si>
  <si>
    <t>pasang lampu</t>
  </si>
  <si>
    <t>ARCH2025_BIAYA_10_P2_0247</t>
  </si>
  <si>
    <t>lampu hilux</t>
  </si>
  <si>
    <t>ARCH2025_BIAYA_10_P2_0248</t>
  </si>
  <si>
    <t>iuran jalur</t>
  </si>
  <si>
    <t>ARCH2025_BIAYA_10_P2_0249</t>
  </si>
  <si>
    <t>ARCH2025_BIAYA_10_P2_0250</t>
  </si>
  <si>
    <t>ARCH2025_BIAYA_10_P2_0251</t>
  </si>
  <si>
    <t>harian buang buah</t>
  </si>
  <si>
    <t>ARCH2025_BIAYA_10_P2_0252</t>
  </si>
  <si>
    <t>ARCH2025_BIAYA_11_P1_0253</t>
  </si>
  <si>
    <t>20.938 x 120</t>
  </si>
  <si>
    <t>ARCH2025_BIAYA_11_P1_0254</t>
  </si>
  <si>
    <t>20.938 x 170</t>
  </si>
  <si>
    <t>ARCH2025_BIAYA_11_P1_0255</t>
  </si>
  <si>
    <t>ARCH2025_BIAYA_11_P1_0256</t>
  </si>
  <si>
    <t>ARCH2025_BIAYA_11_P1_0257</t>
  </si>
  <si>
    <t>ARCH2025_BIAYA_11_P1_0258</t>
  </si>
  <si>
    <t>UREA</t>
  </si>
  <si>
    <t>ARCH2025_BIAYA_11_P1_0259</t>
  </si>
  <si>
    <t>ARCH2025_BIAYA_11_P1_0260</t>
  </si>
  <si>
    <t>ongkos + susun pupuk</t>
  </si>
  <si>
    <t>ARCH2025_BIAYA_11_P1_0261</t>
  </si>
  <si>
    <t>ARCH2025_BIAYA_11_P1_0262</t>
  </si>
  <si>
    <t>ARCH2025_BIAYA_11_P1_0263</t>
  </si>
  <si>
    <t>durian + ongkos</t>
  </si>
  <si>
    <t>ARCH2025_BIAYA_11_P1_0264</t>
  </si>
  <si>
    <t>ARCH2025_BIAYA_11_P2_0265</t>
  </si>
  <si>
    <t>23.263 x 120</t>
  </si>
  <si>
    <t>ARCH2025_BIAYA_11_P2_0266</t>
  </si>
  <si>
    <t>23.263 x 170</t>
  </si>
  <si>
    <t>ARCH2025_BIAYA_11_P2_0267</t>
  </si>
  <si>
    <t>ARCH2025_BIAYA_11_P2_0268</t>
  </si>
  <si>
    <t>ARCH2025_BIAYA_11_P2_0269</t>
  </si>
  <si>
    <t>ARCH2025_BIAYA_11_P2_0270</t>
  </si>
  <si>
    <t>ARCH2025_BIAYA_11_P2_0271</t>
  </si>
  <si>
    <t>ongkos mobil pupuk</t>
  </si>
  <si>
    <t>ARCH2025_BIAYA_11_P2_0272</t>
  </si>
  <si>
    <t>jangkos + serak</t>
  </si>
  <si>
    <t>ARCH2025_BIAYA_11_P2_0273</t>
  </si>
  <si>
    <t>ARCH2025_BIAYA_11_P2_0274</t>
  </si>
  <si>
    <t>ARCH2025_BIAYA_11_P2_0275</t>
  </si>
  <si>
    <t>ARCH2025_BIAYA_11_P2_0276</t>
  </si>
  <si>
    <t>ARCH2025_BIAYA_11_P2_0277</t>
  </si>
  <si>
    <t>ARCH2025_BIAYA_12_P1_0278</t>
  </si>
  <si>
    <t>29.807 x 120</t>
  </si>
  <si>
    <t>ARCH2025_BIAYA_12_P1_0279</t>
  </si>
  <si>
    <t>29.807 x 170</t>
  </si>
  <si>
    <t>ARCH2025_BIAYA_12_P1_0280</t>
  </si>
  <si>
    <t>ARCH2025_BIAYA_12_P1_0281</t>
  </si>
  <si>
    <t>ARCH2025_BIAYA_12_P1_0282</t>
  </si>
  <si>
    <t>ARCH2025_BIAYA_12_P1_0283</t>
  </si>
  <si>
    <t>ARCH2025_BIAYA_12_P1_0284</t>
  </si>
  <si>
    <t>22 mbl</t>
  </si>
  <si>
    <t>ARCH2025_BIAYA_12_P1_0285</t>
  </si>
  <si>
    <t>beras + puding</t>
  </si>
  <si>
    <t>ARCH2025_BIAYA_12_P1_0286</t>
  </si>
  <si>
    <t>ARCH2025_BIAYA_12_P1_0287</t>
  </si>
  <si>
    <t>angsuran ban hilux</t>
  </si>
  <si>
    <t>ARCH2025_BIAYA_12_P2_0288</t>
  </si>
  <si>
    <t>25.409 x 120</t>
  </si>
  <si>
    <t>ARCH2025_BIAYA_12_P2_0289</t>
  </si>
  <si>
    <t>25.409 x 170</t>
  </si>
  <si>
    <t>ARCH2025_BIAYA_12_P2_0290</t>
  </si>
  <si>
    <t>ARCH2025_BIAYA_12_P2_0291</t>
  </si>
  <si>
    <t>ARCH2025_BIAYA_12_P2_0292</t>
  </si>
  <si>
    <t>ARCH2025_BIAYA_12_P2_0293</t>
  </si>
  <si>
    <t>ARCH2025_BIAYA_12_P2_0294</t>
  </si>
  <si>
    <t>ijal + along</t>
  </si>
  <si>
    <t>ARCH2025_BIAYA_12_P2_0295</t>
  </si>
  <si>
    <t>ARCH2025_BIAYA_12_P2_0296</t>
  </si>
  <si>
    <t>ARCH2025_BIAYA_12_P2_0297</t>
  </si>
  <si>
    <t>sambung pln</t>
  </si>
  <si>
    <t>ARCH2025_BIAYA_12_P2_0298</t>
  </si>
  <si>
    <t>ARCH2025_BIAYA_12_P2_0299</t>
  </si>
  <si>
    <t>ARCH2025_BIAYA_12_P2_0300</t>
  </si>
  <si>
    <t>nasi</t>
  </si>
  <si>
    <t>ARCH2025_BIAYA_12_P2_0301</t>
  </si>
  <si>
    <t>lunas ban hilux</t>
  </si>
  <si>
    <t>IMP2024_BIAYA_000001</t>
  </si>
  <si>
    <t>IMP2024_BIAYA_000002</t>
  </si>
  <si>
    <t>IMP2024_BIAYA_000003</t>
  </si>
  <si>
    <t>IMP2024_BIAYA_000004</t>
  </si>
  <si>
    <t>IMP2024_BIAYA_000005</t>
  </si>
  <si>
    <t>IMP2024_BIAYA_000006</t>
  </si>
  <si>
    <t>IMP2024_BIAYA_000007</t>
  </si>
  <si>
    <t>IMP2024_BIAYA_000008</t>
  </si>
  <si>
    <t>IMP2024_BIAYA_000009</t>
  </si>
  <si>
    <t>IMP2024_BIAYA_000010</t>
  </si>
  <si>
    <t>IMP2024_BIAYA_000011</t>
  </si>
  <si>
    <t>IMP2024_BIAYA_000012</t>
  </si>
  <si>
    <t>IMP2024_BIAYA_000013</t>
  </si>
  <si>
    <t>IMP2024_BIAYA_000014</t>
  </si>
  <si>
    <t>IMP2024_BIAYA_000015</t>
  </si>
  <si>
    <t>IMP2024_BIAYA_000016</t>
  </si>
  <si>
    <t>IMP2024_BIAYA_000017</t>
  </si>
  <si>
    <t>IMP2024_BIAYA_000018</t>
  </si>
  <si>
    <t>IMP2024_BIAYA_000019</t>
  </si>
  <si>
    <t>IMP2024_BIAYA_000020</t>
  </si>
  <si>
    <t>IMP2024_BIAYA_000021</t>
  </si>
  <si>
    <t>IMP2024_BIAYA_000022</t>
  </si>
  <si>
    <t>IMP2024_BIAYA_000023</t>
  </si>
  <si>
    <t>IMP2024_BIAYA_000024</t>
  </si>
  <si>
    <t>IMP2024_BIAYA_000025</t>
  </si>
  <si>
    <t>IMP2024_BIAYA_000026</t>
  </si>
  <si>
    <t>IMP2024_BIAYA_000027</t>
  </si>
  <si>
    <t>IMP2024_BIAYA_000028</t>
  </si>
  <si>
    <t>IMP2024_BIAYA_000029</t>
  </si>
  <si>
    <t>IMP2024_BIAYA_000030</t>
  </si>
  <si>
    <t>IMP2024_BIAYA_000031</t>
  </si>
  <si>
    <t>IMP2024_BIAYA_000032</t>
  </si>
  <si>
    <t>IMP2024_BIAYA_000033</t>
  </si>
  <si>
    <t>IMP2024_BIAYA_000034</t>
  </si>
  <si>
    <t>IMP2024_BIAYA_000035</t>
  </si>
  <si>
    <t>IMP2024_BIAYA_000036</t>
  </si>
  <si>
    <t>IMP2024_BIAYA_000037</t>
  </si>
  <si>
    <t>IMP2024_BIAYA_000038</t>
  </si>
  <si>
    <t>IMP2024_BIAYA_000039</t>
  </si>
  <si>
    <t>IMP2024_BIAYA_000040</t>
  </si>
  <si>
    <t>IMP2024_BIAYA_000041</t>
  </si>
  <si>
    <t>IMP2024_BIAYA_000042</t>
  </si>
  <si>
    <t>IMP2024_BIAYA_000043</t>
  </si>
  <si>
    <t>IMP2024_BIAYA_000044</t>
  </si>
  <si>
    <t>IMP2024_BIAYA_000045</t>
  </si>
  <si>
    <t>IMP2024_BIAYA_000046</t>
  </si>
  <si>
    <t>IMP2024_BIAYA_000047</t>
  </si>
  <si>
    <t>IMP2024_BIAYA_000048</t>
  </si>
  <si>
    <t>IMP2024_BIAYA_000049</t>
  </si>
  <si>
    <t>IMP2024_BIAYA_000050</t>
  </si>
  <si>
    <t>IMP2024_BIAYA_000051</t>
  </si>
  <si>
    <t>IMP2024_BIAYA_000052</t>
  </si>
  <si>
    <t>IMP2024_BIAYA_000053</t>
  </si>
  <si>
    <t>IMP2024_BIAYA_000054</t>
  </si>
  <si>
    <t>IMP2024_BIAYA_000055</t>
  </si>
  <si>
    <t>IMP2024_BIAYA_000056</t>
  </si>
  <si>
    <t>IMP2024_BIAYA_000057</t>
  </si>
  <si>
    <t>IMP2024_BIAYA_000058</t>
  </si>
  <si>
    <t>IMP2024_BIAYA_000059</t>
  </si>
  <si>
    <t>IMP2024_BIAYA_000060</t>
  </si>
  <si>
    <t>IMP2024_BIAYA_000061</t>
  </si>
  <si>
    <t>IMP2024_BIAYA_000062</t>
  </si>
  <si>
    <t>IMP2024_BIAYA_000063</t>
  </si>
  <si>
    <t>IMP2024_BIAYA_000064</t>
  </si>
  <si>
    <t>IMP2024_BIAYA_000065</t>
  </si>
  <si>
    <t>IMP2024_BIAYA_000066</t>
  </si>
  <si>
    <t>IMP2024_BIAYA_000067</t>
  </si>
  <si>
    <t>IMP2024_BIAYA_000068</t>
  </si>
  <si>
    <t>IMP2024_BIAYA_000069</t>
  </si>
  <si>
    <t>IMP2024_BIAYA_000070</t>
  </si>
  <si>
    <t>IMP2024_BIAYA_000071</t>
  </si>
  <si>
    <t>IMP2024_BIAYA_000072</t>
  </si>
  <si>
    <t>IMP2024_BIAYA_000073</t>
  </si>
  <si>
    <t>IMP2024_BIAYA_000074</t>
  </si>
  <si>
    <t>IMP2024_BIAYA_000075</t>
  </si>
  <si>
    <t>IMP2024_BIAYA_000076</t>
  </si>
  <si>
    <t>IMP2024_BIAYA_000077</t>
  </si>
  <si>
    <t>IMP2024_BIAYA_000078</t>
  </si>
  <si>
    <t>IMP2024_BIAYA_000079</t>
  </si>
  <si>
    <t>IMP2024_BIAYA_000080</t>
  </si>
  <si>
    <t>IMP2024_BIAYA_000081</t>
  </si>
  <si>
    <t>IMP2024_BIAYA_000082</t>
  </si>
  <si>
    <t>IMP2024_BIAYA_000083</t>
  </si>
  <si>
    <t>IMP2024_BIAYA_000084</t>
  </si>
  <si>
    <t>IMP2024_BIAYA_000085</t>
  </si>
  <si>
    <t>IMP2024_BIAYA_000086</t>
  </si>
  <si>
    <t>IMP2024_BIAYA_000087</t>
  </si>
  <si>
    <t>IMP2024_BIAYA_000088</t>
  </si>
  <si>
    <t>IMP2024_BIAYA_000089</t>
  </si>
  <si>
    <t>IMP2024_BIAYA_000090</t>
  </si>
  <si>
    <t>IMP2024_BIAYA_000091</t>
  </si>
  <si>
    <t>IMP2024_BIAYA_000092</t>
  </si>
  <si>
    <t>IMP2024_BIAYA_000093</t>
  </si>
  <si>
    <t>IMP2024_BIAYA_000094</t>
  </si>
  <si>
    <t>IMP2024_BIAYA_000095</t>
  </si>
  <si>
    <t>IMP2024_BIAYA_000096</t>
  </si>
  <si>
    <t>IMP2024_BIAYA_000097</t>
  </si>
  <si>
    <t>IMP2024_BIAYA_000098</t>
  </si>
  <si>
    <t>IMP2024_BIAYA_000099</t>
  </si>
  <si>
    <t>IMP2024_BIAYA_000100</t>
  </si>
  <si>
    <t>IMP2024_BIAYA_000101</t>
  </si>
  <si>
    <t>IMP2024_BIAYA_000102</t>
  </si>
  <si>
    <t>IMP2024_BIAYA_000103</t>
  </si>
  <si>
    <t>IMP2024_BIAYA_000104</t>
  </si>
  <si>
    <t>IMP2024_BIAYA_000105</t>
  </si>
  <si>
    <t>IMP2024_BIAYA_000106</t>
  </si>
  <si>
    <t>IMP2024_BIAYA_000107</t>
  </si>
  <si>
    <t>IMP2024_BIAYA_000108</t>
  </si>
  <si>
    <t>IMP2024_BIAYA_000109</t>
  </si>
  <si>
    <t>IMP2024_BIAYA_000110</t>
  </si>
  <si>
    <t>IMP2024_BIAYA_000111</t>
  </si>
  <si>
    <t>IMP2024_BIAYA_000112</t>
  </si>
  <si>
    <t>IMP2024_BIAYA_000113</t>
  </si>
  <si>
    <t>IMP2024_BIAYA_000114</t>
  </si>
  <si>
    <t>IMP2024_BIAYA_000115</t>
  </si>
  <si>
    <t>IMP2024_BIAYA_000116</t>
  </si>
  <si>
    <t>IMP2024_BIAYA_000117</t>
  </si>
  <si>
    <t>IMP2024_BIAYA_000118</t>
  </si>
  <si>
    <t>IMP2024_BIAYA_000119</t>
  </si>
  <si>
    <t>IMP2024_BIAYA_000120</t>
  </si>
  <si>
    <t>IMP2024_BIAYA_000121</t>
  </si>
  <si>
    <t>IMP2024_BIAYA_000122</t>
  </si>
  <si>
    <t>IMP2024_BIAYA_000123</t>
  </si>
  <si>
    <t>IMP2024_BIAYA_000124</t>
  </si>
  <si>
    <t>IMP2024_BIAYA_000125</t>
  </si>
  <si>
    <t>IMP2024_BIAYA_000126</t>
  </si>
  <si>
    <t>IMP2024_BIAYA_000127</t>
  </si>
  <si>
    <t>IMP2024_BIAYA_000128</t>
  </si>
  <si>
    <t>IMP2024_BIAYA_000129</t>
  </si>
  <si>
    <t>IMP2024_BIAYA_000130</t>
  </si>
  <si>
    <t>IMP2024_BIAYA_000131</t>
  </si>
  <si>
    <t>IMP2024_BIAYA_000132</t>
  </si>
  <si>
    <t>IMP2024_BIAYA_000133</t>
  </si>
  <si>
    <t>IMP2024_BIAYA_000134</t>
  </si>
  <si>
    <t>IMP2024_BIAYA_000135</t>
  </si>
  <si>
    <t>IMP2024_BIAYA_000136</t>
  </si>
  <si>
    <t>IMP2024_BIAYA_000137</t>
  </si>
  <si>
    <t>IMP2024_BIAYA_000138</t>
  </si>
  <si>
    <t>IMP2024_BIAYA_000139</t>
  </si>
  <si>
    <t>IMP2024_BIAYA_000140</t>
  </si>
  <si>
    <t>IMP2024_BIAYA_000141</t>
  </si>
  <si>
    <t>IMP2024_BIAYA_000142</t>
  </si>
  <si>
    <t>IMP2024_BIAYA_000143</t>
  </si>
  <si>
    <t>IMP2024_BIAYA_000144</t>
  </si>
  <si>
    <t>IMP2024_BIAYA_000145</t>
  </si>
  <si>
    <t>IMP2024_BIAYA_000146</t>
  </si>
  <si>
    <t>IMP2024_BIAYA_000147</t>
  </si>
  <si>
    <t>IMP2024_BIAYA_000148</t>
  </si>
  <si>
    <t>IMP2024_BIAYA_000149</t>
  </si>
  <si>
    <t>IMP2024_BIAYA_000150</t>
  </si>
  <si>
    <t>IMP2024_BIAYA_000151</t>
  </si>
  <si>
    <t>IMP2024_BIAYA_000152</t>
  </si>
  <si>
    <t>IMP2024_BIAYA_000153</t>
  </si>
  <si>
    <t>IMP2024_BIAYA_000154</t>
  </si>
  <si>
    <t>IMP2024_BIAYA_000155</t>
  </si>
  <si>
    <t>IMP2024_BIAYA_000156</t>
  </si>
  <si>
    <t>IMP2024_BIAYA_000157</t>
  </si>
  <si>
    <t>IMP2024_BIAYA_000158</t>
  </si>
  <si>
    <t>IMP2024_BIAYA_000159</t>
  </si>
  <si>
    <t>IMP2024_BIAYA_000160</t>
  </si>
  <si>
    <t>IMP2024_BIAYA_000161</t>
  </si>
  <si>
    <t>IMP2024_BIAYA_000162</t>
  </si>
  <si>
    <t>IMP2024_BIAYA_000163</t>
  </si>
  <si>
    <t>IMP2024_BIAYA_000164</t>
  </si>
  <si>
    <t>IMP2024_BIAYA_000165</t>
  </si>
  <si>
    <t>IMP2024_BIAYA_000166</t>
  </si>
  <si>
    <t>IMP2024_BIAYA_000167</t>
  </si>
  <si>
    <t>IMP2024_BIAYA_000168</t>
  </si>
  <si>
    <t>IMP2024_BIAYA_000169</t>
  </si>
  <si>
    <t>IMP2024_BIAYA_000170</t>
  </si>
  <si>
    <t>IMP2024_BIAYA_000171</t>
  </si>
  <si>
    <t>IMP2024_BIAYA_000172</t>
  </si>
  <si>
    <t>IMP2024_BIAYA_000173</t>
  </si>
  <si>
    <t>IMP2024_BIAYA_000174</t>
  </si>
  <si>
    <t>IMP2024_BIAYA_000175</t>
  </si>
  <si>
    <t>IMP2024_BIAYA_000176</t>
  </si>
  <si>
    <t>IMP2024_BIAYA_000177</t>
  </si>
  <si>
    <t>IMP2024_BIAYA_000178</t>
  </si>
  <si>
    <t>IMP2024_BIAYA_000179</t>
  </si>
  <si>
    <t>IMP2024_BIAYA_000180</t>
  </si>
  <si>
    <t>IMP2024_BIAYA_000181</t>
  </si>
  <si>
    <t>IMP2024_BIAYA_000182</t>
  </si>
  <si>
    <t>IMP2024_BIAYA_000183</t>
  </si>
  <si>
    <t>IMP2024_BIAYA_000184</t>
  </si>
  <si>
    <t>IMP2024_BIAYA_000185</t>
  </si>
  <si>
    <t>IMP2024_BIAYA_000186</t>
  </si>
  <si>
    <t>IMP2024_BIAYA_000187</t>
  </si>
  <si>
    <t>IMP2024_BIAYA_000188</t>
  </si>
  <si>
    <t>IMP2024_BIAYA_000189</t>
  </si>
  <si>
    <t>IMP2024_BIAYA_000190</t>
  </si>
  <si>
    <t>IMP2024_BIAYA_000191</t>
  </si>
  <si>
    <t>IMP2024_BIAYA_000192</t>
  </si>
  <si>
    <t>ARCH2025_KAS_03_P2_0001</t>
  </si>
  <si>
    <t>ARCH2025_KAS_05_P1_0002</t>
  </si>
  <si>
    <t>ARCH2025_KAS_05_P1_0003</t>
  </si>
  <si>
    <t>ARCH2025_KAS_05_P2_0004</t>
  </si>
  <si>
    <t>ARCH2025_KAS_05_P2_0005</t>
  </si>
  <si>
    <t>ARCH2025_KAS_06_P1_0006</t>
  </si>
  <si>
    <t>ARCH2025_KAS_06_P2_0007</t>
  </si>
  <si>
    <t>ARCH2025_KAS_06_P2_0008</t>
  </si>
  <si>
    <t>ARCH2025_KAS_07_P1_0009</t>
  </si>
  <si>
    <t>ARCH2025_KAS_07_P2_0010</t>
  </si>
  <si>
    <t>ARCH2025_KAS_07_P2_0011</t>
  </si>
  <si>
    <t>ARCH2025_KAS_07_P2_0012</t>
  </si>
  <si>
    <t>ARCH2025_KAS_07_P2_0013</t>
  </si>
  <si>
    <t>ARCH2025_KAS_08_P1_0014</t>
  </si>
  <si>
    <t>ARCH2025_KAS_08_P1_0015</t>
  </si>
  <si>
    <t>ARCH2025_KAS_08_P1_0016</t>
  </si>
  <si>
    <t>ARCH2025_KAS_08_P2_0017</t>
  </si>
  <si>
    <t>ARCH2025_KAS_08_P2_0018</t>
  </si>
  <si>
    <t>ARCH2025_KAS_08_P2_0019</t>
  </si>
  <si>
    <t>ARCH2025_KAS_08_P2_0020</t>
  </si>
  <si>
    <t>ARCH2025_KAS_09_P1_0021</t>
  </si>
  <si>
    <t>ARCH2025_KAS_09_P1_0022</t>
  </si>
  <si>
    <t>ARCH2025_KAS_09_P1_0023</t>
  </si>
  <si>
    <t>ARCH2025_KAS_09_P2_0024</t>
  </si>
  <si>
    <t>ARCH2025_KAS_09_P2_0025</t>
  </si>
  <si>
    <t>ARCH2025_KAS_09_P2_0026</t>
  </si>
  <si>
    <t>ARCH2025_KAS_10_P1_0027</t>
  </si>
  <si>
    <t>ARCH2025_KAS_10_P1_0028</t>
  </si>
  <si>
    <t>ARCH2025_KAS_10_P1_0029</t>
  </si>
  <si>
    <t>ARCH2025_KAS_10_P2_0030</t>
  </si>
  <si>
    <t>ARCH2025_KAS_10_P2_0031</t>
  </si>
  <si>
    <t>ARCH2025_KAS_11_P1_0032</t>
  </si>
  <si>
    <t>ARCH2025_KAS_11_P1_0033</t>
  </si>
  <si>
    <t>ARCH2025_KAS_11_P2_0034</t>
  </si>
  <si>
    <t>ARCH2025_KAS_11_P2_0035</t>
  </si>
  <si>
    <t>ARCH2025_KAS_11_P2_0036</t>
  </si>
  <si>
    <t>ARCH2025_KAS_12_P1_0037</t>
  </si>
  <si>
    <t>ARCH2025_KAS_12_P1_0038</t>
  </si>
  <si>
    <t>nama_pupuk</t>
  </si>
  <si>
    <t>ARCH2025_PUPUK_02_001</t>
  </si>
  <si>
    <t>Februari - Dolomit; dosis besar=1.5, kecil=1</t>
  </si>
  <si>
    <t>SOURCE_2025_PUPUK</t>
  </si>
  <si>
    <t>ARCH2025_PUPUK_03_002</t>
  </si>
  <si>
    <t>Maret - RP; dosis besar=1.5, kecil=1</t>
  </si>
  <si>
    <t>ARCH2025_PUPUK_04_003</t>
  </si>
  <si>
    <t>April - Urea; dosis besar=1.5, kecil=</t>
  </si>
  <si>
    <t>ARCH2025_PUPUK_05_004</t>
  </si>
  <si>
    <t>KCL</t>
  </si>
  <si>
    <t>Mei - KCL; dosis besar=1.5, kecil=</t>
  </si>
  <si>
    <t>ARCH2025_PUPUK_06_005</t>
  </si>
  <si>
    <t>NPK</t>
  </si>
  <si>
    <t>Juni - NPK; dosis besar=, kecil=1</t>
  </si>
  <si>
    <t>ARCH2025_PUPUK_08_006</t>
  </si>
  <si>
    <t>Agustus - Dolomit; dosis besar=1.25, kecil=1</t>
  </si>
  <si>
    <t>ARCH2025_PUPUK_09_007</t>
  </si>
  <si>
    <t>September - RP; dosis besar=1.25, kecil=1</t>
  </si>
  <si>
    <t>ARCH2025_PUPUK_10_008</t>
  </si>
  <si>
    <t>Oktober - Urea; dosis besar=1.25, kecil=1</t>
  </si>
  <si>
    <t>ARCH2025_PUPUK_11_009</t>
  </si>
  <si>
    <t>November - KCL; dosis besar=1.25, kecil=1</t>
  </si>
  <si>
    <t>ARCH2025_PUPUK_12_010</t>
  </si>
  <si>
    <t>borat</t>
  </si>
  <si>
    <t>Desember - borat; dosis besar=0.13, kecil=0.13</t>
  </si>
  <si>
    <t>semester 2</t>
  </si>
  <si>
    <t>status_bulan</t>
  </si>
  <si>
    <t>open</t>
  </si>
  <si>
    <t>2026-06-07T12:09:21.273Z</t>
  </si>
  <si>
    <t>key</t>
  </si>
  <si>
    <t>value</t>
  </si>
  <si>
    <t>ACTIVE_YEAR</t>
  </si>
  <si>
    <t>Rollback 8F: operasional masih tahun berjalan 2026.</t>
  </si>
  <si>
    <t>APP_VERSION</t>
  </si>
  <si>
    <t>V3_CLEAN_UI_PORTING_FROM_V21_LAYOUT_2B_DIRECT_DASHBOARD_RENDER_SAFE</t>
  </si>
  <si>
    <t>Versi UI aktif V3 Clean</t>
  </si>
  <si>
    <t>2026-06-07T13:46:23.197Z</t>
  </si>
  <si>
    <t>CONVERTER_VERSION</t>
  </si>
  <si>
    <t>V3_CLEAN_SOURCE_2026_CONVERTER_FULL_6_BIAYA_ABU_FINAL_SAFE</t>
  </si>
  <si>
    <t>Versi converter aktif</t>
  </si>
  <si>
    <t>2026-06-07T12:03:19.171Z</t>
  </si>
  <si>
    <t>LAST_IMPORT_2026_AT</t>
  </si>
  <si>
    <t>2026-06-07T12:09:21.987Z</t>
  </si>
  <si>
    <t>Waktu import 2026 terakhir</t>
  </si>
  <si>
    <t>2026-06-07T12:09:22.280Z</t>
  </si>
  <si>
    <t>LAST_IMPORT_2026_BACKUP_STAMP</t>
  </si>
  <si>
    <t>20260607_190916</t>
  </si>
  <si>
    <t>Backup internal sebelum import 2026</t>
  </si>
  <si>
    <t>2026-06-07T12:09:22.702Z</t>
  </si>
  <si>
    <t>CURRENT_YEAR</t>
  </si>
  <si>
    <t>Alias tahun aktif aplikasi. Diubah oleh 8D Mulai Tahun Baru.</t>
  </si>
  <si>
    <t>LAST_CLOSED_YEAR</t>
  </si>
  <si>
    <t>Tahun terakhir yang sudah tutup buku sebelum mulai tahun baru.</t>
  </si>
  <si>
    <t>YEAR_CLOSING_VERSION</t>
  </si>
  <si>
    <t>V3_YEAR_CLOSING_8D_MULAI_TAHUN_BARU_SAFE</t>
  </si>
  <si>
    <t>Versi modul tutup buku terakhir.</t>
  </si>
  <si>
    <t>timestamp</t>
  </si>
  <si>
    <t>user</t>
  </si>
  <si>
    <t>action</t>
  </si>
  <si>
    <t>detail</t>
  </si>
  <si>
    <t>2026-06-07T11:46:53.647Z</t>
  </si>
  <si>
    <t>williardxc@gmail.com</t>
  </si>
  <si>
    <t>setupV3Check</t>
  </si>
  <si>
    <t>{"ok":true,"version":"V3_CLEAN_SOURCE_2026_CONVERTER_FULL_2","createdSheets":[],"fixedHeaders":["TX_PEMUPUKAN","MASTER_TARGET","MASTER_PUPUK","MONTH_STATUS","APP_CONFIG","LOG_AKTIVITAS"],"issues":[],"appConfig":{"ACTIVE_YEAR":2026,"APP_VERSION":"V3_CLEAN_START","CONVERTER_VERSION":"V3_CLEAN_SOURCE_2026_CONVERTER_FULL_2"}}</t>
  </si>
  <si>
    <t>V3_CLEAN_SOURCE_2026_CONVERTER_FULL_2</t>
  </si>
  <si>
    <t>2026-06-07T11:47:08.760Z</t>
  </si>
  <si>
    <t>previewSource2026V3</t>
  </si>
  <si>
    <t>{"ok":false,"summary":{"produksiKg":0,"penjualanRp":0,"biayaRp":27284,"kasRp":0,"transferRp":0,"rows":{"penjualan":0,"biaya":64,"kas":0,"pemupukan":0}},"validation":{"ok":false,"issues":["Produksi tidak cocok: 0 != 253117","Penjualan tidak cocok: 0 != 848374000","Biaya tidak cocok: 27284 != 434989430","Transfer tidak cocok: 0 != 403289430","Rows penjualan tidak cocok: 0 != 53","Rows biaya tidak cocok: 64 != 156","Rows kas tidak cocok: 0 != 33"]}}</t>
  </si>
  <si>
    <t>2026-06-07T11:52:09.680Z</t>
  </si>
  <si>
    <t>{"ok":true,"version":"V3_CLEAN_SOURCE_2026_CONVERTER_FULL_3_NUMERIC_SAFE","createdSheets":[],"fixedHeaders":[],"issues":[],"appConfig":{"ACTIVE_YEAR":2026,"APP_VERSION":"V3_CLEAN_START","CONVERTER_VERSION":"V3_CLEAN_SOURCE_2026_CONVERTER_FULL_3_NUMERIC_SAFE"}}</t>
  </si>
  <si>
    <t>V3_CLEAN_SOURCE_2026_CONVERTER_FULL_3_NUMERIC_SAFE</t>
  </si>
  <si>
    <t>2026-06-07T11:52:20.563Z</t>
  </si>
  <si>
    <t>{"ok":false,"summary":{"produksiKg":253117,"penjualanRp":848374000,"biayaRp":407732714,"kasRp":605843200,"transferRp":403289430,"rows":{"penjualan":53,"biaya":156,"kas":33,"pemupukan":0}},"validation":{"ok":false,"issues":["Biaya tidak cocok: 407732714 != 434989430"]}}</t>
  </si>
  <si>
    <t>2026-06-07T11:55:39.530Z</t>
  </si>
  <si>
    <t>{"ok":true,"version":"V3_CLEAN_SOURCE_2026_CONVERTER_FULL_4_BIAYA_SAFE","createdSheets":[],"fixedHeaders":[],"issues":[],"appConfig":{"ACTIVE_YEAR":2026,"APP_VERSION":"V3_CLEAN_START","CONVERTER_VERSION":"V3_CLEAN_SOURCE_2026_CONVERTER_FULL_4_BIAYA_SAFE"}}</t>
  </si>
  <si>
    <t>V3_CLEAN_SOURCE_2026_CONVERTER_FULL_4_BIAYA_SAFE</t>
  </si>
  <si>
    <t>2026-06-07T11:55:45.022Z</t>
  </si>
  <si>
    <t>2026-06-07T11:57:48.271Z</t>
  </si>
  <si>
    <t>2026-06-07T12:00:36.053Z</t>
  </si>
  <si>
    <t>{"ok":true,"version":"V3_CLEAN_SOURCE_2026_CONVERTER_FULL_5_CLEAN_REPLACE_SAFE","createdSheets":[],"fixedHeaders":[],"issues":[],"appConfig":{"ACTIVE_YEAR":2026,"APP_VERSION":"V3_CLEAN_START","CONVERTER_VERSION":"V3_CLEAN_SOURCE_2026_CONVERTER_FULL_5_CLEAN_REPLACE_SAFE"}}</t>
  </si>
  <si>
    <t>V3_CLEAN_SOURCE_2026_CONVERTER_FULL_5_CLEAN_REPLACE_SAFE</t>
  </si>
  <si>
    <t>2026-06-07T12:00:41.482Z</t>
  </si>
  <si>
    <t>2026-06-07T12:03:19.901Z</t>
  </si>
  <si>
    <t>{"ok":true,"version":"V3_CLEAN_SOURCE_2026_CONVERTER_FULL_6_BIAYA_ABU_FINAL_SAFE","createdSheets":[],"fixedHeaders":[],"issues":[],"appConfig":{"ACTIVE_YEAR":2026,"APP_VERSION":"V3_CLEAN_START","CONVERTER_VERSION":"V3_CLEAN_SOURCE_2026_CONVERTER_FULL_6_BIAYA_ABU_FINAL_SAFE"}}</t>
  </si>
  <si>
    <t>2026-06-07T12:03:29.087Z</t>
  </si>
  <si>
    <t>2026-06-07T12:07:21.837Z</t>
  </si>
  <si>
    <t>{"ok":true,"summary":{"produksiKg":253117,"penjualanRp":848374000,"biayaRp":434989430,"kasRp":605843200,"transferRp":403289430,"rows":{"penjualan":53,"biaya":156,"kas":33,"pemupukan":0}},"validation":{"ok":true,"issues":[]}}</t>
  </si>
  <si>
    <t>V3_CLEAN_SOURCE_2026_CONVERTER_FULL_7_BIAYA_SMALL_AMOUNT_FIX_SAFE</t>
  </si>
  <si>
    <t>2026-06-07T12:08:58.395Z</t>
  </si>
  <si>
    <t>2026-06-07T12:09:15.683Z</t>
  </si>
  <si>
    <t>2026-06-07T12:09:22.863Z</t>
  </si>
  <si>
    <t>importSource2026ToV3_CONFIRM</t>
  </si>
  <si>
    <t>{"ok":true,"mode":"WRITE_DONE","version":"V3_CLEAN_SOURCE_2026_CONVERTER_FULL_7_BIAYA_SMALL_AMOUNT_FIX_SAFE","message":"Import SOURCE_2026_RAW ke TX_* V3 selesai.","backupStamp":"20260607_190916","summary":{"produksiKg":253117,"penjualanRp":848374000,"biayaRp":434989430,"kasRp":605843200,"transferRp":403289430,"rows":{"penjualan":53,"biaya":156,"kas":33,"pemupukan":0}}}</t>
  </si>
  <si>
    <t>2026-06-07T12:16:27.781Z</t>
  </si>
  <si>
    <t>auditTx2026V3</t>
  </si>
  <si>
    <t>{"ok":true,"summary":{"produksiKg":253117,"penjualanRp":848374000,"biayaRp":434989430,"kasRp":605843200,"transferRp":403289430,"rows":{"penjualan":53,"biaya":156,"kas":33,"pemupukan":0}},"issuesCount":0}</t>
  </si>
  <si>
    <t>V3_CLEAN_POST_IMPORT_AUDIT_SAFE_2_CATEGORY_NORMALIZE_FIX</t>
  </si>
  <si>
    <t>2026-06-07T12:21:27.446Z</t>
  </si>
  <si>
    <t>{"ok":true,"severity":"ok","summary":{"produksiKg":253117,"penjualanRp":848374000,"biayaRp":434989430,"kasRp":605843200,"transferRp":403289430,"rows":{"penjualan":53,"biaya":156,"kas":33,"pemupukan":0}},"issueCount":0}</t>
  </si>
  <si>
    <t>V3_CLEAN_BASELINE_AFTER_IMPORT_AUDIT_LOCK_SAFE</t>
  </si>
  <si>
    <t>2026-06-07T12:21:50.287Z</t>
  </si>
  <si>
    <t>2026-06-07T12:21:52.065Z</t>
  </si>
  <si>
    <t>getV3BaselineStatus</t>
  </si>
  <si>
    <t>{"ok":true,"severity":"ok","activeYear":2026}</t>
  </si>
  <si>
    <t>2026-06-07T12:38:56.139Z</t>
  </si>
  <si>
    <t>2026-06-07T12:38:57.483Z</t>
  </si>
  <si>
    <t>2026-06-07T12:41:17.190Z</t>
  </si>
  <si>
    <t>2026-06-07T12:41:18.623Z</t>
  </si>
  <si>
    <t>2026-06-07T12:49:57.079Z</t>
  </si>
  <si>
    <t>2026-06-07T12:49:59.157Z</t>
  </si>
  <si>
    <t>2026-06-07T12:50:21.046Z</t>
  </si>
  <si>
    <t>2026-06-07T12:50:22.569Z</t>
  </si>
  <si>
    <t>2026-06-07T12:53:37.168Z</t>
  </si>
  <si>
    <t>setupV3UiCheck</t>
  </si>
  <si>
    <t>{"ok":true,"version":"V3_CLEAN_UI_1_SAFE","fixedHeaders":[],"activeYear":2026}</t>
  </si>
  <si>
    <t>V3_CLEAN_UI_1_SAFE</t>
  </si>
  <si>
    <t>2026-06-07T12:57:30.610Z</t>
  </si>
  <si>
    <t>{"ok":true,"version":"V3_CLEAN_UI_1A_AUDIT_KAS_FIX_SAFE","fixedHeaders":[],"activeYear":2026}</t>
  </si>
  <si>
    <t>V3_CLEAN_UI_1A_AUDIT_KAS_FIX_SAFE</t>
  </si>
  <si>
    <t>2026-06-07T13:38:33.581Z</t>
  </si>
  <si>
    <t>{"ok":true,"version":"V3_CLEAN_UI_PORTING_FROM_V21_LAYOUT_2A_FORCE_LOAD_SAFE","fixedHeaders":[],"activeYear":2026}</t>
  </si>
  <si>
    <t>V3_CLEAN_UI_PORTING_FROM_V21_LAYOUT_2A_FORCE_LOAD_SAFE</t>
  </si>
  <si>
    <t>2026-06-07T13:46:25.082Z</t>
  </si>
  <si>
    <t>{"ok":true,"version":"V3_CLEAN_UI_PORTING_FROM_V21_LAYOUT_2B_DIRECT_DASHBOARD_RENDER_SAFE","fixedHeaders":[],"activeYear":2026}</t>
  </si>
  <si>
    <t>SAVE_INPUT_TX_V3</t>
  </si>
  <si>
    <t>{"batch_id":"V3INPUT_2026_6_PANEN1_20260608_133114","label":"Juni PANEN 1","rows":{"penjualan":4,"biaya":10,"kas":3},"total":{"produksiKg":20392,"penjualanRp":64504440,"biayaRp":29464180,"kasRp":43749000}}</t>
  </si>
  <si>
    <t>V3_UI_BINDING_5G_SAVE_INPUT_TX_MANUAL_LOCK_SAFE</t>
  </si>
  <si>
    <t>{"batch_id":"V3INPUT_2026_6_PANEN3_20260608_144318","label":"Juni PANEN 3","rows":{"penjualan":1,"biaya":2,"kas":0},"total":{"produksiKg":25000,"penjualanRp":87500000,"biayaRp":7250000,"kasRp":0}}</t>
  </si>
  <si>
    <t>V3_UI_BINDING_5N_PRE_SAVE_BACKEND_CHECK_SAFE</t>
  </si>
  <si>
    <t>SAVE_PEMUPUKAN_INPUT_V3</t>
  </si>
  <si>
    <t>{"batch_id":"V3PUPUK_2026_1_20260608_173316","periode_tahun":2026,"periode_bulan":1,"rows":1,"totalJumlah":130}</t>
  </si>
  <si>
    <t>V3_UI_BINDING_6B_PEMUPUKAN_HISTORY_VIEW_SAFE</t>
  </si>
  <si>
    <t>{"batch_id":"V3PUPUK_2026_1_20260608_174106","periode_tahun":2026,"periode_bulan":1,"rows":1,"totalJumlah":130}</t>
  </si>
  <si>
    <t>{"batch_id":"V3PUPUK_2026_1_20260609_080733","periode_tahun":2026,"periode_bulan":1,"rows":1,"totalJumlah":130}</t>
  </si>
  <si>
    <t>V3_UI_BINDING_6F_PEMUPUKAN_DOSIS_DECIMAL_SAFE</t>
  </si>
  <si>
    <t>backup_akhir_tahun_8b2_folder_fix</t>
  </si>
  <si>
    <t>{"version":"V3_YEAR_CLOSING_8B2_BACKUP_FOLDER_FIX_SAFE","year":2026,"path":"BUKIT PRAGO V3 CLEAN / 03_BACKUP_V3","stampedFile":"backup_bukit_prago_v3_AKHIR_TAHUN_2026_20260609_103534.json","latestFile":"backup_bukit_prago_v3_AKHIR_TAHUN_TERBARU.json","previousFile":"backup_bukit_prago_v3_AKHIR_TAHUN_SEBELUMNYA.json"}</t>
  </si>
  <si>
    <t>V3_YEAR_CLOSING_8B2_BACKUP_FOLDER_FIX_SAFE</t>
  </si>
  <si>
    <t>tutup_buku_final_8c_lock_year</t>
  </si>
  <si>
    <t>{"version":"V3_YEAR_CLOSING_8C_TUTUP_BUKU_FINAL_LOCK_SAFE","year":2026,"status_tahun":"CLOSED","locked":true,"backup_file":"backup_bukit_prago_v3_AKHIR_TAHUN_TERBARU.json","backup_file_id":"1FFxCNnx5L1aUHS1i4bZePakTMz9tkSiJ","summary":{"rowsPenjualan":53,"rowsBiaya":156,"rowsKas":33,"rowsPemupukan":1,"produksiKg":253117,"penjualanRp":848374000,"biayaRp":434989430,"transferRp":403289430,"labaRp":413384570,"hpp":1719,"hargaRataRata":3352}}</t>
  </si>
  <si>
    <t>V3_YEAR_CLOSING_8C_TUTUP_BUKU_FINAL_LOCK_SAFE</t>
  </si>
  <si>
    <t>mulai_tahun_baru_8d</t>
  </si>
  <si>
    <t>{"version":"V3_YEAR_CLOSING_8D_MULAI_TAHUN_BARU_SAFE","oldActiveYear":2026,"newActiveYear":2027,"targetResult":{"year":2027,"appendedMonths":[1,2,3,4,5,6,7,8,9,10,11,12],"appendedCount":12,"message":"Target kosong/0 dibuat untuk bulan: 1, 2, 3, 4, 5, 6, 7, 8, 9, 10, 11, 12"}}</t>
  </si>
  <si>
    <t>ROLLBACK_ACTIVE_YEAR_2026</t>
  </si>
  <si>
    <t>{"ok":true,"version":"V3_YEAR_CLOSING_8F_ROLLBACK_ACTIVE_2026_SAFE","message":"Rollback berhasil. ACTIVE_YEAR kembali ke 2026. Tahun 2026 OPEN. Tahun 2027 belum aktif.","activeYear":2026,"deletedYearStatus2027":1,"deletedMasterTarget2027":12,"yearStatusRows":[{"periode_tahun":2026,"status_tahun":"OPEN","locked":false,"closed_at":"","closed_by":"","backup_file":"","backup_file_id":"","backup_generated_at":"","summary_json":"","version":"V3_YEAR_CLOSING_8F_ROLLBACK_ACTIVE_2026_SAFE","updated_at":"2026-06-09 13:45:02","catatan":"Rollback 8F: 2026 dikembalikan sebagai tahun berjalan OPEN karena operasional masih 2026."}]}</t>
  </si>
  <si>
    <t>{"batch_id":"V3PUPUK_2026_6_20260611_114318","periode_tahun":2026,"periode_bulan":6,"rows":1,"totalJumlah":130}</t>
  </si>
  <si>
    <t>V3_UI_BINDING_6E_PEMUPUKAN_HISTORY_DATE_BACKEND_FIX_SAFE</t>
  </si>
  <si>
    <t>{"batch_id":"V3PUPUK_2026_2_20260612_102401","rows":1,"totalJumlah":91}</t>
  </si>
  <si>
    <t>CLOSE_YEAR_STAGE2E_DUPLICATE_AUDIT</t>
  </si>
  <si>
    <t>{"year":2026,"ok":true,"issues":[]}</t>
  </si>
  <si>
    <t>{"batch_id":"V3PUPUK_2026_2_20260612_181231","rows":1,"totalJumlah":16}</t>
  </si>
  <si>
    <t>IMPORT_ARCHIVE_2024_APPENDED_V3</t>
  </si>
  <si>
    <t>{"importYear":2024,"batchId":"IMPORT_ARCHIVE_2024_20260612_201620","appendResult":{"penjualan":{"stagingSheet":"STAGING_2024_PENJUALAN","archiveSheet":"ARCHIVE_PENJUALAN","appended":75},"biaya":{"stagingSheet":"STAGING_2024_BIAYA","archiveSheet":"ARCHIVE_BIAYA","appended":192},"kas":{"stagingSheet":"STAGING_2024_KAS","archiveSheet":"ARCHIVE_KAS","appended":0},"pemupukan":{"stagingSheet":"STAGING_2024_PEMUPUKAN","archiveSheet":"ARCHIVE_PEMUPUKAN","appended":0}},"backup":{"ok":true,"name":"BACKUP_BEFORE_IMPORT_ARCHIVE_2024_V3_20260612_201613","fileId":"1KigPhZ1GBEQAfXVyuerC-4iv1az3-9Z9VWnb0tHroFs","url":"https://docs.google.com/spreadsheets/d/1KigPhZ1GBEQAfXVyuerC-4iv1az3-9Z9VWnb0tHroFs/edit?usp=drivesdk","createdAt":"2026-06-12 20:16:20"}}</t>
  </si>
  <si>
    <t>CONFIRM_IMPORT_ARCHIVE_2024_V3</t>
  </si>
  <si>
    <t>{"status":"OK_IMPORT_ARCHIVE_2024_DONE","importYear":2024,"batchId":"IMPORT_ARCHIVE_2024_20260612_201620","rowsImported":{"penjualan":{"stagingSheet":"STAGING_2024_PENJUALAN","archiveSheet":"ARCHIVE_PENJUALAN","appended":75},"biaya":{"stagingSheet":"STAGING_2024_BIAYA","archiveSheet":"ARCHIVE_BIAYA","appended":192},"kas":{"stagingSheet":"STAGING_2024_KAS","archiveSheet":"ARCHIVE_KAS","appended":0},"pemupukan":{"stagingSheet":"STAGING_2024_PEMUPUKAN","archiveSheet":"ARCHIVE_PEMUPUKAN","appended":0}},"expectedRows":{"penjualan":75,"biaya":192,"kas":0,"pemupukan":0},"expectedSummary":{"produksiKg":331247,"penjualanRp":892599850,"biayaRp":713685590,"kasRp":0,"transferRp":0,"pinjamanRp":0,"potongPinjamanRp":0,"kasMasukRp":0,"kasKeluarRp":0,"labaRp":178914260,"hppRpPerKg":2155,"hargaRataRpPerKg":2695,"rows":{"penjualan":75,"biaya":192,"kas":0,"pemupukan":0}},"backup":{"ok":true,"name":"BACKUP_BEFORE_IMPORT_ARCHIVE_2024_V3_20260612_201613","fileId":"1KigPhZ1GBEQAfXVyuerC-4iv1az3-9Z9VWnb0tHroFs","url":"https://docs.google.com/spreadsheets/d/1KigPhZ1GBEQAfXVyuerC-4iv1az3-9Z9VWnb0tHroFs/edit?usp=drivesdk","createdAt":"2026-06-12 20:16:20"},"validation":{"ok":true,"year":2024,"batchId":"IMPORT_ARCHIVE_2024_20260612_201620","archiveCounts":{"penjualan":75,"biaya":192,"kas":0,"pemupukan":0},"archiveSummary":{"produksiKg":331247,"penjualanRp":892599850,"biayaRp":713685590,"kasRp":0,"transferRp":0,"pinjamanRp":0,"potongPinjamanRp":0,"kasMasukRp":0,"kasKeluarRp":0,"labaRp":178914260,"hppRpPerKg":2155,"hargaRataRpPerKg":2695,"rows":{"penjualan":75,"biaya":192,"kas":0,"pemupukan":0}},"metricYearTablesOk":true,"batchAudit":{"ok":true,"batchId":"IMPORT_ARCHIVE_2024_20260612_201620","counts":{"penjualan":75,"biaya":192,"kas":0,"pemupukan":0},"total":267},"issues":[]}}</t>
  </si>
  <si>
    <t>{"batch_id":"V3PUPUK_2026_4_20260612_204833","rows":1,"totalJumlah":12000}</t>
  </si>
  <si>
    <t>{"batch_id":"V3PUPUK_2026_5_20260612_205026","rows":1,"totalJumlah":6}</t>
  </si>
  <si>
    <t>{"batch_id":"V3PUPUK_2026_5_20260612_205246","rows":1,"totalJumlah":112}</t>
  </si>
  <si>
    <t>FORMAT_DATABASE_SHEETS_V3_SAFE</t>
  </si>
  <si>
    <t>{"version":"V3_DATABASE_UI_FORMAT_SAFE_1","sheets":32}</t>
  </si>
  <si>
    <t>{"batch_id":"V3INPUT_2026_6_PANEN3_20260613_092229","label":"Juni PANEN 3","rows":{"penjualan":1,"biaya":2,"kas":1},"total":{"produksiKg":35000,"penjualanRp":122500000,"biayaRp":10150000,"kasRp":857333}}</t>
  </si>
  <si>
    <t>{"batch_id":"V3INPUT_2026_6_PANEN3_20260613_102151","label":"Juni PANEN 3","rows":{"penjualan":1,"biaya":2,"kas":1},"total":{"produksiKg":32000,"penjualanRp":115200000,"biayaRp":9280000,"kasRp":0}}</t>
  </si>
  <si>
    <t>{"batch_id":"V3INPUT_2026_6_PANEN3_20260613_105417","label":"Juni PANEN 3","rows":{"penjualan":1,"biaya":5,"kas":2},"total":{"produksiKg":32000,"penjualanRp":115200000,"biayaRp":10400000,"kasRp":20000000}}</t>
  </si>
  <si>
    <t>{"batch_id":"V3INPUT_2026_6_PANEN3_20260613_105813","label":"Juni PANEN 3","rows":{"penjualan":1,"biaya":5,"kas":1},"total":{"produksiKg":32000,"penjualanRp":115200000,"biayaRp":24180000,"kasRp":15000000}}</t>
  </si>
  <si>
    <t>SAVE_TARGET_PRODUKSI_V3</t>
  </si>
  <si>
    <t>{"tahun":2026,"target_kg":600000,"keterangan":"Target produksi tahun 2026"}</t>
  </si>
  <si>
    <t>{"tahun":2026,"target_kg":577000,"keterangan":"Target produksi tahun 2026"}</t>
  </si>
  <si>
    <t>SAVE_TARGET_PRODUKSI_SMART_V3</t>
  </si>
  <si>
    <t>{"tahun":2026,"target_kg":577000,"monthlyTargets":[31539,28505,33967,55773,51377,45169,45445,43618,51539,74682,52507,62879],"analysis":{"yearsUsed":[2024,2025],"quality":"sedang","mode":"ADAPTIVE_2_YEAR"},"keterangan":"Target produksi tahun 2026"}</t>
  </si>
  <si>
    <t>{"tahun":2026,"target_kg":553400,"monthlyTargets":[30249,27339,32578,53492,49276,43322,43587,41834,49431,71628,50360,60304],"analysis":{"yearsUsed":[2024,2025],"quality":"sedang","mode":"ADAPTIVE_2_YEAR"},"keterangan":"Target produksi tahun 2026"}</t>
  </si>
  <si>
    <t>{"tahun":2026,"target_kg":553400,"monthlyTargets":[30249,27339,32578,53492,49276,43322,43587,41834,49431,71628,50360,60304],"analysis":{"yearsUsed":[2024,2025],"quality":"sedang","mode":"ADAPTIVE_2_YEAR"},"keterangan":"Target produksi terpadu normal - histori + PPKS + tanah + perawatan (2024, 2025)"}</t>
  </si>
  <si>
    <t>{"tahun":2026,"target_kg":552900,"monthlyTargets":[31557,29789,34255,48285,47869,44211,44563,43393,49228,68877,51716,59157],"analysis":{"yearsUsed":[2024,2025],"quality":"rendah","mode":"ENSEMBLE_3_MODEL_MONTHLY_BACKTEST"},"keterangan":"Target produksi terpadu normal - histori + PPKS + tanah + perawatan (2024, 2025)"}</t>
  </si>
  <si>
    <t>{"tahun":2026,"target_kg":604700,"monthlyTargets":[33982,31918,36923,56436,52247,47439,48319,47415,54648,73547,56235,65591],"analysis":{"yearsUsed":[2024,2025],"quality":"rendah","mode":"FALLBACK_2_YEAR_ADAPTIVE"},"keterangan":"Target produksi fallback adaptif optimistic tahun 2026 - histori 2024, 2025"}</t>
  </si>
  <si>
    <t>{"tahun":2026,"target_kg":526000,"monthlyTargets":[29559,27764,32118,49091,45447,41265,42030,41244,47536,63975,48916,57055],"analysis":{"yearsUsed":[2024,2025],"quality":"rendah","mode":"FALLBACK_2_YEAR_ADAPTIVE"},"keterangan":"Target produksi fallback adaptif optimistic tahun 2026 - histori 2024, 2025"}</t>
  </si>
  <si>
    <t>{"tahun":2026,"target_kg":447400,"monthlyTargets":[25142,23615,27319,41755,38656,35099,35749,35081,40433,54415,41606,48530],"analysis":{"yearsUsed":[2024,2025],"quality":"rendah","mode":"FALLBACK_2_YEAR_ADAPTIVE"},"keterangan":"Target produksi fallback adaptif 2 tahun konservatif tahun 2026 — histori 2024, 2025"}</t>
  </si>
  <si>
    <t>{"tahun":2026,"target_kg":526000,"monthlyTargets":[29559,27764,32118,49091,45447,41265,42030,41244,47536,63975,48916,57055],"analysis":{"yearsUsed":[2024,2025],"quality":"rendah","mode":"FALLBACK_2_YEAR_ADAPTIVE"},"keterangan":"Target produksi fallback adaptif 2 tahun normal tahun 2026 — histori 2024, 2025"}</t>
  </si>
  <si>
    <t>{"tahun":2026,"target_kg":604700,"monthlyTargets":[33982,31918,36923,56436,52247,47439,48319,47415,54648,73547,56235,65591],"analysis":{"yearsUsed":[2024,2025],"quality":"rendah","mode":"FALLBACK_2_YEAR_ADAPTIVE"},"keterangan":"Target produksi fallback adaptif 2 tahun optimistis tahun 2026 — histori 2024, 2025"}</t>
  </si>
  <si>
    <t>BACKUP_DRIVE_MANUAL_V3</t>
  </si>
  <si>
    <t>{"ok":true,"mode":"MANUAL","timestamp":"2026-06-18 14:55:05","folderId":"1i15-_MIb0QIC5J95LxE9tcuSp-DkP63g","folderUrl":"https://drive.google.com/drive/folders/1i15-_MIb0QIC5J95LxE9tcuSp-DkP63g","latest":{"id":"14GAwDaDHoWdGhk7JMGXcgpB20RTx-mTIgQMujC2TE2c","name":"BUKIT_PRAGO_V3_BACKUP_TERBARU","url":"https://docs.google.com/spreadsheets/d/14GAwDaDHoWdGhk7JMGXcgpB20RTx-mTIgQMujC2TE2c/edit?usp=drivesdk","sizeBytes":1},"previousAvailable":false,"sourceSpreadsheetId":"1VvOfA3XovPv03PlEVv0fzMsF33QHj8kMnluAzRHrofg","sourceSpreadsheetName":"DATABASE APLIKASI KEBUN BUKIT PRAGO V3 CLEAN","activeYear":2026,"txTouched":false,"archiveTouched":false,"appConfigChanged":false}</t>
  </si>
  <si>
    <t>{"ok":true,"mode":"MANUAL","timestamp":"2026-06-18 15:02:37","folderId":"1i15-_MIb0QIC5J95LxE9tcuSp-DkP63g","folderUrl":"https://drive.google.com/drive/folders/1i15-_MIb0QIC5J95LxE9tcuSp-DkP63g","latest":{"id":"1WzKkNrjPmrpfkkblvY-37LRyRd6JU_xAwbPuP4D-tmA","name":"BUKIT_PRAGO_V3_BACKUP_TERBARU","url":"https://docs.google.com/spreadsheets/d/1WzKkNrjPmrpfkkblvY-37LRyRd6JU_xAwbPuP4D-tmA/edit?usp=drivesdk","sizeBytes":1},"previousAvailable":false,"sourceSpreadsheetId":"1VvOfA3XovPv03PlEVv0fzMsF33QHj8kMnluAzRHrofg","sourceSpreadsheetName":"DATABASE APLIKASI KEBUN BUKIT PRAGO V3 CLEAN","activeYear":2026,"txTouched":false,"archiveTouched":false,"appConfigChanged":false}</t>
  </si>
  <si>
    <t>{"ok":true,"verified":true,"mode":"MANUAL","timestamp":"2026-06-18 15:21:58","folder":{"id":"1uZeA4OLr3ECNQR7505JNvV-MZuvTWA4I","name":"OPERASIONAL_2_SLOT","url":"https://drive.google.com/drive/folders/1uZeA4OLr3ECNQR7505JNvV-MZuvTWA4I","parentName":"03_BACKUP_V3"},"latest":{"id":"1RgT85xu9taQc6ZGRvT7Ybjc5swjaem_lPqpo-AOt9AQ","name":"BUKIT_PRAGO_V3_BACKUP_TERBARU","url":"https://docs.google.com/spreadsheets/d/1RgT85xu9taQc6ZGRvT7Ybjc5swjaem_lPqpo-AOt9AQ/edit?usp=drivesdk","sizeBytes":1,"updatedAt":"2026-06-18 15:21:58"},"previous":null,"latestAvailable":true,"previousAvailable":false,"slotCount":1,"sourceSpreadsheetId":"1VvOfA3XovPv03PlEVv0fzMsF33QHj8kMnluAzRHrofg","sourceSpreadsheetName":"DATABASE APLIKASI KEBUN BUKIT PRAGO V3 CLEAN","activeYear":2026,"txTouched":false,"archiveTouched":false,"appConfigChanged":false}</t>
  </si>
  <si>
    <t>{"ok":true,"verified":true,"mode":"MANUAL","timestamp":"2026-06-18 15:22:10","folder":{"id":"1uZeA4OLr3ECNQR7505JNvV-MZuvTWA4I","name":"OPERASIONAL_2_SLOT","url":"https://drive.google.com/drive/folders/1uZeA4OLr3ECNQR7505JNvV-MZuvTWA4I","parentName":"03_BACKUP_V3"},"latest":{"id":"1GunaP4W5_bzdmHq7af3g3_fkFYxbPG-U25JyIT0LmU0","name":"BUKIT_PRAGO_V3_BACKUP_TERBARU","url":"https://docs.google.com/spreadsheets/d/1GunaP4W5_bzdmHq7af3g3_fkFYxbPG-U25JyIT0LmU0/edit?usp=drivesdk","sizeBytes":1,"updatedAt":"2026-06-18 15:22:15"},"previous":{"id":"1RgT85xu9taQc6ZGRvT7Ybjc5swjaem_lPqpo-AOt9AQ","name":"BUKIT_PRAGO_V3_BACKUP_SEBELUMNYA","url":"https://docs.google.com/spreadsheets/d/1RgT85xu9taQc6ZGRvT7Ybjc5swjaem_lPqpo-AOt9AQ/edit?usp=drivesdk","sizeBytes":73605,"updatedAt":"2026-06-18 15:22:11"},"latestAvailable":true,"previousAvailable":true,"slotCount":2,"sourceSpreadsheetId":"1VvOfA3XovPv03PlEVv0fzMsF33QHj8kMnluAzRHrofg","sourceSpreadsheetName":"DATABASE APLIKASI KEBUN BUKIT PRAGO V3 CLEAN","activeYear":2026,"txTouched":false,"archiveTouched":false,"appConfigChanged":false}</t>
  </si>
  <si>
    <t>{"batch_id":"V3INPUT_2026_6_PANEN2_20260618_222734","label":"Juni PANEN 2","rows":{"penjualan":5,"biaya":9,"kas":3},"total":{"produksiKg":24518,"penjualanRp":83726880,"biayaRp":13980220,"kasRp":94811340}}</t>
  </si>
  <si>
    <t>{"ok":true,"verified":true,"mode":"MANUAL","timestamp":"2026-06-18 22:27:48","folder":{"id":"1uZeA4OLr3ECNQR7505JNvV-MZuvTWA4I","name":"OPERASIONAL_2_SLOT","url":"https://drive.google.com/drive/folders/1uZeA4OLr3ECNQR7505JNvV-MZuvTWA4I","parentName":"03_BACKUP_V3"},"latest":{"id":"1ayBGgJO0X89yz3r90b1ulCPU-KYY4mtJSYPfRHH-Zdg","name":"BUKIT_PRAGO_V3_BACKUP_TERBARU","url":"https://docs.google.com/spreadsheets/d/1ayBGgJO0X89yz3r90b1ulCPU-KYY4mtJSYPfRHH-Zdg/edit?usp=drivesdk","sizeBytes":1,"updatedAt":"2026-06-18 22:27:51"},"previous":{"id":"1GunaP4W5_bzdmHq7af3g3_fkFYxbPG-U25JyIT0LmU0","name":"BUKIT_PRAGO_V3_BACKUP_SEBELUMNYA","url":"https://docs.google.com/spreadsheets/d/1GunaP4W5_bzdmHq7af3g3_fkFYxbPG-U25JyIT0LmU0/edit?usp=drivesdk","sizeBytes":73805,"updatedAt":"2026-06-18 22:27:49"},"latestAvailable":true,"previousAvailable":true,"slotCount":2,"sourceSpreadsheetId":"1VvOfA3XovPv03PlEVv0fzMsF33QHj8kMnluAzRHrofg","sourceSpreadsheetName":"DATABASE APLIKASI KEBUN BUKIT PRAGO V3 CLEAN","activeYear":2026,"txTouched":false,"archiveTouched":false,"appConfigChanged":false}</t>
  </si>
  <si>
    <t>{"ok":true,"verified":true,"mode":"MANUAL","timestamp":"2026-06-18 23:00:18","folder":{"id":"1uZeA4OLr3ECNQR7505JNvV-MZuvTWA4I","name":"OPERASIONAL_2_SLOT","url":"https://drive.google.com/drive/folders/1uZeA4OLr3ECNQR7505JNvV-MZuvTWA4I","parentName":"03_BACKUP_V3"},"latest":{"id":"1SeUphecNq5nChbZW8eRJsEwCxsZ3dw98Vzj69gTpreo","name":"BUKIT_PRAGO_V3_BACKUP_TERBARU","url":"https://docs.google.com/spreadsheets/d/1SeUphecNq5nChbZW8eRJsEwCxsZ3dw98Vzj69gTpreo/edit?usp=drivesdk","sizeBytes":1,"updatedAt":"2026-06-18 23:00:21"},"previous":{"id":"1ayBGgJO0X89yz3r90b1ulCPU-KYY4mtJSYPfRHH-Zdg","name":"BUKIT_PRAGO_V3_BACKUP_SEBELUMNYA","url":"https://docs.google.com/spreadsheets/d/1ayBGgJO0X89yz3r90b1ulCPU-KYY4mtJSYPfRHH-Zdg/edit?usp=drivesdk","sizeBytes":74650,"updatedAt":"2026-06-18 23:00:20"},"latestAvailable":true,"previousAvailable":true,"slotCount":2,"sourceSpreadsheetId":"1VvOfA3XovPv03PlEVv0fzMsF33QHj8kMnluAzRHrofg","sourceSpreadsheetName":"DATABASE APLIKASI KEBUN BUKIT PRAGO V3 CLEAN","activeYear":2026,"txTouched":false,"archiveTouched":false,"appConfigChanged":false}</t>
  </si>
  <si>
    <t>{"ok":true,"verified":true,"mode":"MANUAL","timestamp":"2026-06-18 23:00:38","folder":{"id":"1uZeA4OLr3ECNQR7505JNvV-MZuvTWA4I","name":"OPERASIONAL_2_SLOT","url":"https://drive.google.com/drive/folders/1uZeA4OLr3ECNQR7505JNvV-MZuvTWA4I","parentName":"03_BACKUP_V3"},"latest":{"id":"1q3ukSpitzsZJHeQCyx-dvu1p6S48K3VqDDewWZ7K0ig","name":"BUKIT_PRAGO_V3_BACKUP_TERBARU","url":"https://docs.google.com/spreadsheets/d/1q3ukSpitzsZJHeQCyx-dvu1p6S48K3VqDDewWZ7K0ig/edit?usp=drivesdk","sizeBytes":1,"updatedAt":"2026-06-18 23:00:42"},"previous":{"id":"1SeUphecNq5nChbZW8eRJsEwCxsZ3dw98Vzj69gTpreo","name":"BUKIT_PRAGO_V3_BACKUP_SEBELUMNYA","url":"https://docs.google.com/spreadsheets/d/1SeUphecNq5nChbZW8eRJsEwCxsZ3dw98Vzj69gTpreo/edit?usp=drivesdk","sizeBytes":74786,"updatedAt":"2026-06-18 23:00:40"},"latestAvailable":true,"previousAvailable":true,"slotCount":2,"sourceSpreadsheetId":"1VvOfA3XovPv03PlEVv0fzMsF33QHj8kMnluAzRHrofg","sourceSpreadsheetName":"DATABASE APLIKASI KEBUN BUKIT PRAGO V3 CLEAN","activeYear":2026,"txTouched":false,"archiveTouched":false,"appConfigChanged":false}</t>
  </si>
  <si>
    <t>V3_FINAL_OPERATIONAL_BASELINE_2026_06_RESTORE_TOTAL_2SLOT_FORMULA_AWARE_PRO_SAFE</t>
  </si>
  <si>
    <t>BACKUP_DRIVE_DAILY_V3</t>
  </si>
  <si>
    <t>{"ok":true,"verified":true,"mode":"DAILY","timestamp":"2026-06-19 23:58:55","folder":{"id":"1uZeA4OLr3ECNQR7505JNvV-MZuvTWA4I","name":"OPERASIONAL_2_SLOT","url":"https://drive.google.com/drive/folders/1uZeA4OLr3ECNQR7505JNvV-MZuvTWA4I","parentName":"03_BACKUP_V3"},"latest":{"id":"1hgpBk1I9ndaXMo6kv5wNPsc6DuYMgUtpBBJeo9PDKOQ","name":"BUKIT_PRAGO_V3_BACKUP_TERBARU","url":"https://docs.google.com/spreadsheets/d/1hgpBk1I9ndaXMo6kv5wNPsc6DuYMgUtpBBJeo9PDKOQ/edit?usp=drivesdk","sizeBytes":1,"updatedAt":"2026-06-19 23:58:58"},"previous":{"id":"1q3ukSpitzsZJHeQCyx-dvu1p6S48K3VqDDewWZ7K0ig","name":"BUKIT_PRAGO_V3_BACKUP_SEBELUMNYA","url":"https://docs.google.com/spreadsheets/d/1q3ukSpitzsZJHeQCyx-dvu1p6S48K3VqDDewWZ7K0ig/edit?usp=drivesdk","sizeBytes":74893,"updatedAt":"2026-06-19 23:58:57"},"latestAvailable":true,"previousAvailable":true,"slotCount":2,"sourceSpreadsheetId":"1VvOfA3XovPv03PlEVv0fzMsF33QHj8kMnluAzRHrofg","sourceSpreadsheetName":"DATABASE APLIKASI KEBUN BUKIT PRAGO V3 CLEAN","activeYear":2026,"txTouched":false,"archiveTouched":false,"appConfigChanged":false}</t>
  </si>
  <si>
    <t>V3_FINAL_OPERATIONAL_BASELINE_2026_06_TRIGGER_SETUP_CANONICAL_VERIFIED_SAFE</t>
  </si>
  <si>
    <t>{"ok":true,"verified":true,"mode":"DAILY","timestamp":"2026-06-20 23:58:56","folder":{"id":"1uZeA4OLr3ECNQR7505JNvV-MZuvTWA4I","name":"OPERASIONAL_2_SLOT","url":"https://drive.google.com/drive/folders/1uZeA4OLr3ECNQR7505JNvV-MZuvTWA4I","parentName":"03_BACKUP_V3"},"latest":{"id":"1Yc0NrxSaF3PY4o1YZSB5J5vJL0O0qT9isB5Rey_86uQ","name":"BUKIT_PRAGO_V3_BACKUP_TERBARU","url":"https://docs.google.com/spreadsheets/d/1Yc0NrxSaF3PY4o1YZSB5J5vJL0O0qT9isB5Rey_86uQ/edit?usp=drivesdk","sizeBytes":1,"updatedAt":"2026-06-20 23:58:59"},"previous":{"id":"1XIz0YOxje40YAL3kNSUHZ2sqVnzylNm7J6ecfLVT8g8","name":"BUKIT_PRAGO_V3_BACKUP_SEBELUMNYA","url":"https://docs.google.com/spreadsheets/d/1XIz0YOxje40YAL3kNSUHZ2sqVnzylNm7J6ecfLVT8g8/edit?usp=drivesdk","sizeBytes":76482,"updatedAt":"2026-06-20 23:58:58"},"latestAvailable":true,"previousAvailable":true,"slotCount":2,"sourceSpreadsheetId":"1VvOfA3XovPv03PlEVv0fzMsF33QHj8kMnluAzRHrofg","sourceSpreadsheetName":"DATABASE APLIKASI KEBUN BUKIT PRAGO V3 CLEAN","activeYear":2026,"txTouched":false,"archiveTouched":false,"appConfigChanged":false}</t>
  </si>
  <si>
    <t>V3_FINAL_OPERATIONAL_BASELINE_2026_06_FINAL_QUALITY_AUDIT_MONITORING_SAFE</t>
  </si>
  <si>
    <t>{"ok":true,"verified":true,"mode":"DAILY","timestamp":"2026-06-21 23:58:56","folder":{"id":"1uZeA4OLr3ECNQR7505JNvV-MZuvTWA4I","name":"OPERASIONAL_2_SLOT","url":"https://drive.google.com/drive/folders/1uZeA4OLr3ECNQR7505JNvV-MZuvTWA4I","parentName":"03_BACKUP_V3"},"latest":{"id":"1ykaBgvdhHEkn7akipXoTzoiBB1Du8h09P-kgQCEbWzM","name":"BUKIT_PRAGO_V3_BACKUP_TERBARU","url":"https://docs.google.com/spreadsheets/d/1ykaBgvdhHEkn7akipXoTzoiBB1Du8h09P-kgQCEbWzM/edit?usp=drivesdk","sizeBytes":1,"updatedAt":"2026-06-21 23:58:59"},"previous":{"id":"100agI2N2lLRcrVnWAGR3j5q3roetaGkmHHvOAEfkw_8","name":"BUKIT_PRAGO_V3_BACKUP_SEBELUMNYA","url":"https://docs.google.com/spreadsheets/d/100agI2N2lLRcrVnWAGR3j5q3roetaGkmHHvOAEfkw_8/edit?usp=drivesdk","sizeBytes":76608,"updatedAt":"2026-06-21 23:58:58"},"latestAvailable":true,"previousAvailable":true,"slotCount":2,"sourceSpreadsheetId":"1VvOfA3XovPv03PlEVv0fzMsF33QHj8kMnluAzRHrofg","sourceSpreadsheetName":"DATABASE APLIKASI KEBUN BUKIT PRAGO V3 CLEAN","activeYear":2026,"txTouched":false,"archiveTouched":false,"appConfigChanged":false}</t>
  </si>
  <si>
    <t>V3_FINAL_OPERATIONAL_BASELINE_2026_06_COMPARISON_TOTAL_YTD_YELLOW_VERIFIED_BASELINE_SAFE</t>
  </si>
  <si>
    <t>{"ok":true,"verified":true,"mode":"DAILY","timestamp":"2026-06-22 23:58:54","folder":{"id":"1uZeA4OLr3ECNQR7505JNvV-MZuvTWA4I","name":"OPERASIONAL_2_SLOT","url":"https://drive.google.com/drive/folders/1uZeA4OLr3ECNQR7505JNvV-MZuvTWA4I","parentName":"03_BACKUP_V3"},"latest":{"id":"10qrFyAze3ifYAB0xRXqGRPMwQ485gPr2uLSnJyP6eKE","name":"BUKIT_PRAGO_V3_BACKUP_TERBARU","url":"https://docs.google.com/spreadsheets/d/10qrFyAze3ifYAB0xRXqGRPMwQ485gPr2uLSnJyP6eKE/edit?usp=drivesdk","sizeBytes":76760,"updatedAt":"2026-06-22 23:58:57"},"previous":{"id":"1zLfrNToR800IJK735aAF1jlcoX_Hjn7x4OJXJ8sDGeI","name":"BUKIT_PRAGO_V3_BACKUP_SEBELUMNYA","url":"https://docs.google.com/spreadsheets/d/1zLfrNToR800IJK735aAF1jlcoX_Hjn7x4OJXJ8sDGeI/edit?usp=drivesdk","sizeBytes":76805,"updatedAt":"2026-06-22 23:58:56"},"latestAvailable":true,"previousAvailable":true,"slotCount":2,"sourceSpreadsheetId":"1VvOfA3XovPv03PlEVv0fzMsF33QHj8kMnluAzRHrofg","sourceSpreadsheetName":"DATABASE APLIKASI KEBUN BUKIT PRAGO V3 CLEAN","activeYear":2026,"txTouched":false,"archiveTouched":false,"appConfigChanged":false}</t>
  </si>
  <si>
    <t>{"ok":true,"verified":true,"mode":"DAILY","timestamp":"2026-06-23 23:59:01","folder":{"id":"1uZeA4OLr3ECNQR7505JNvV-MZuvTWA4I","name":"OPERASIONAL_2_SLOT","url":"https://drive.google.com/drive/folders/1uZeA4OLr3ECNQR7505JNvV-MZuvTWA4I","parentName":"03_BACKUP_V3"},"latest":{"id":"1QsURgxOpDzThuJ23Wc6j0jVOS9BGH0w_Z-D0uANN8zg","name":"BUKIT_PRAGO_V3_BACKUP_TERBARU","url":"https://docs.google.com/spreadsheets/d/1QsURgxOpDzThuJ23Wc6j0jVOS9BGH0w_Z-D0uANN8zg/edit?usp=drivesdk","sizeBytes":76911,"updatedAt":"2026-06-23 23:59:04"},"previous":{"id":"1Au_b1Jw0dlMF4_saEvEDWXbKTId4DnWp5vSkS7c2Xfo","name":"BUKIT_PRAGO_V3_BACKUP_SEBELUMNYA","url":"https://docs.google.com/spreadsheets/d/1Au_b1Jw0dlMF4_saEvEDWXbKTId4DnWp5vSkS7c2Xfo/edit?usp=drivesdk","sizeBytes":76960,"updatedAt":"2026-06-23 23:59:03"},"latestAvailable":true,"previousAvailable":true,"slotCount":2,"sourceSpreadsheetId":"1VvOfA3XovPv03PlEVv0fzMsF33QHj8kMnluAzRHrofg","sourceSpreadsheetName":"DATABASE APLIKASI KEBUN BUKIT PRAGO V3 CLEAN","activeYear":2026,"txTouched":false,"archiveTouched":false,"appConfigChanged":false}</t>
  </si>
  <si>
    <t>{"ok":true,"verified":true,"mode":"DAILY","timestamp":"2026-06-24 23:58:54","folder":{"id":"1uZeA4OLr3ECNQR7505JNvV-MZuvTWA4I","name":"OPERASIONAL_2_SLOT","url":"https://drive.google.com/drive/folders/1uZeA4OLr3ECNQR7505JNvV-MZuvTWA4I","parentName":"03_BACKUP_V3"},"latest":{"id":"1p933cibYWXksYrIXe7XGy0DhfnRdc0hHeqIophgxKu0","name":"BUKIT_PRAGO_V3_BACKUP_TERBARU","url":"https://docs.google.com/spreadsheets/d/1p933cibYWXksYrIXe7XGy0DhfnRdc0hHeqIophgxKu0/edit?usp=drivesdk","sizeBytes":1,"updatedAt":"2026-06-24 23:58:57"},"previous":{"id":"1vhXNS4io8h9pYtSpH3zr2l_e6TKnNuuLsHEZMcJyvK8","name":"BUKIT_PRAGO_V3_BACKUP_SEBELUMNYA","url":"https://docs.google.com/spreadsheets/d/1vhXNS4io8h9pYtSpH3zr2l_e6TKnNuuLsHEZMcJyvK8/edit?usp=drivesdk","sizeBytes":77099,"updatedAt":"2026-06-24 23:58:56"},"latestAvailable":true,"previousAvailable":true,"slotCount":2,"sourceSpreadsheetId":"1VvOfA3XovPv03PlEVv0fzMsF33QHj8kMnluAzRHrofg","sourceSpreadsheetName":"DATABASE APLIKASI KEBUN BUKIT PRAGO V3 CLEAN","activeYear":2026,"txTouched":false,"archiveTouched":false,"appConfigChanged":false}</t>
  </si>
  <si>
    <t>{"ok":true,"verified":true,"mode":"MANUAL","timestamp":"2026-06-25 09:33:23","folder":{"id":"1uZeA4OLr3ECNQR7505JNvV-MZuvTWA4I","name":"OPERASIONAL_2_SLOT","url":"https://drive.google.com/drive/folders/1uZeA4OLr3ECNQR7505JNvV-MZuvTWA4I","parentName":"03_BACKUP_V3"},"latest":{"id":"1GN171ekSoNUaSU_I_LUvohnjqRQV8M7yNW-WWfYBKJQ","name":"BUKIT_PRAGO_V3_BACKUP_TERBARU","url":"https://docs.google.com/spreadsheets/d/1GN171ekSoNUaSU_I_LUvohnjqRQV8M7yNW-WWfYBKJQ/edit?usp=drivesdk","sizeBytes":1,"updatedAt":"2026-06-25 09:33:26"},"previous":{"id":"1p933cibYWXksYrIXe7XGy0DhfnRdc0hHeqIophgxKu0","name":"BUKIT_PRAGO_V3_BACKUP_SEBELUMNYA","url":"https://docs.google.com/spreadsheets/d/1p933cibYWXksYrIXe7XGy0DhfnRdc0hHeqIophgxKu0/edit?usp=drivesdk","sizeBytes":77064,"updatedAt":"2026-06-25 09:33:25"},"latestAvailable":true,"previousAvailable":true,"slotCount":2,"sourceSpreadsheetId":"1VvOfA3XovPv03PlEVv0fzMsF33QHj8kMnluAzRHrofg","sourceSpreadsheetName":"DATABASE APLIKASI KEBUN BUKIT PRAGO V3 CLEAN","activeYear":2026,"txTouched":false,"archiveTouched":false,"appConfigChanged":false}</t>
  </si>
  <si>
    <t>V3_FINAL_OPERATIONAL_BASELINE_2026_06_REKAP_YEAR_ARCHIVE_DYNAMIC_FROM_YELLOW_BASELINE_VERIFIED_SAFE</t>
  </si>
  <si>
    <t>{"ok":true,"verified":true,"mode":"DAILY","timestamp":"2026-06-25 23:58:54","folder":{"id":"1uZeA4OLr3ECNQR7505JNvV-MZuvTWA4I","name":"OPERASIONAL_2_SLOT","url":"https://drive.google.com/drive/folders/1uZeA4OLr3ECNQR7505JNvV-MZuvTWA4I","parentName":"03_BACKUP_V3"},"latest":{"id":"1PC1f6JeFYk0e1cpT1CyM_w4WeQXsUZe6YXLe1OGHIqs","name":"BUKIT_PRAGO_V3_BACKUP_TERBARU","url":"https://docs.google.com/spreadsheets/d/1PC1f6JeFYk0e1cpT1CyM_w4WeQXsUZe6YXLe1OGHIqs/edit?usp=drivesdk","sizeBytes":1,"updatedAt":"2026-06-25 23:58:57"},"previous":{"id":"1R0xOYEPdT-YFRR1QBHqZI9Gv7lPep29ksCvsnH-gY6w","name":"BUKIT_PRAGO_V3_BACKUP_SEBELUMNYA","url":"https://docs.google.com/spreadsheets/d/1R0xOYEPdT-YFRR1QBHqZI9Gv7lPep29ksCvsnH-gY6w/edit?usp=drivesdk","sizeBytes":77352,"updatedAt":"2026-06-25 23:58:56"},"latestAvailable":true,"previousAvailable":true,"slotCount":2,"sourceSpreadsheetId":"1VvOfA3XovPv03PlEVv0fzMsF33QHj8kMnluAzRHrofg","sourceSpreadsheetName":"DATABASE APLIKASI KEBUN BUKIT PRAGO V3 CLEAN","activeYear":2026,"txTouched":false,"archiveTouched":false,"appConfigChanged":false}</t>
  </si>
  <si>
    <t>{"ok":true,"verified":true,"mode":"DAILY","timestamp":"2026-06-26 23:58:55","folder":{"id":"1uZeA4OLr3ECNQR7505JNvV-MZuvTWA4I","name":"OPERASIONAL_2_SLOT","url":"https://drive.google.com/drive/folders/1uZeA4OLr3ECNQR7505JNvV-MZuvTWA4I","parentName":"03_BACKUP_V3"},"latest":{"id":"1PNSesbNVCC8mZquOXJr41Cf2SruAJaRHl3gQrHgVs3M","name":"BUKIT_PRAGO_V3_BACKUP_TERBARU","url":"https://docs.google.com/spreadsheets/d/1PNSesbNVCC8mZquOXJr41Cf2SruAJaRHl3gQrHgVs3M/edit?usp=drivesdk","sizeBytes":1,"updatedAt":"2026-06-26 23:58:58"},"previous":{"id":"1rwY6MHcMztxGRQvqjqK2awTFP8zAnYym9vtGZYxCXdY","name":"BUKIT_PRAGO_V3_BACKUP_SEBELUMNYA","url":"https://docs.google.com/spreadsheets/d/1rwY6MHcMztxGRQvqjqK2awTFP8zAnYym9vtGZYxCXdY/edit?usp=drivesdk","sizeBytes":77486,"updatedAt":"2026-06-26 23:58:57"},"latestAvailable":true,"previousAvailable":true,"slotCount":2,"sourceSpreadsheetId":"1VvOfA3XovPv03PlEVv0fzMsF33QHj8kMnluAzRHrofg","sourceSpreadsheetName":"DATABASE APLIKASI KEBUN BUKIT PRAGO V3 CLEAN","activeYear":2026,"txTouched":false,"archiveTouched":false,"appConfigChanged":false}</t>
  </si>
  <si>
    <t>{"ok":true,"verified":true,"mode":"DAILY","timestamp":"2026-06-27 23:58:54","folder":{"id":"1uZeA4OLr3ECNQR7505JNvV-MZuvTWA4I","name":"OPERASIONAL_2_SLOT","url":"https://drive.google.com/drive/folders/1uZeA4OLr3ECNQR7505JNvV-MZuvTWA4I","parentName":"03_BACKUP_V3"},"latest":{"id":"1_iJZnk9xRxaD01yDU6WnLJGqdtrAlOiyVppd-RiPiFU","name":"BUKIT_PRAGO_V3_BACKUP_TERBARU","url":"https://docs.google.com/spreadsheets/d/1_iJZnk9xRxaD01yDU6WnLJGqdtrAlOiyVppd-RiPiFU/edit?usp=drivesdk","sizeBytes":1,"updatedAt":"2026-06-27 23:58:57"},"previous":{"id":"1_VMSrBCXEeHFTeXFVtouadbOccfC3fXPeF5ES3HOHeA","name":"BUKIT_PRAGO_V3_BACKUP_SEBELUMNYA","url":"https://docs.google.com/spreadsheets/d/1_VMSrBCXEeHFTeXFVtouadbOccfC3fXPeF5ES3HOHeA/edit?usp=drivesdk","sizeBytes":77614,"updatedAt":"2026-06-27 23:58:56"},"latestAvailable":true,"previousAvailable":true,"slotCount":2,"sourceSpreadsheetId":"1VvOfA3XovPv03PlEVv0fzMsF33QHj8kMnluAzRHrofg","sourceSpreadsheetName":"DATABASE APLIKASI KEBUN BUKIT PRAGO V3 CLEAN","activeYear":2026,"txTouched":false,"archiveTouched":false,"appConfigChanged":false}</t>
  </si>
  <si>
    <t>{"ok":true,"verified":true,"mode":"DAILY","timestamp":"2026-06-28 23:58:55","folder":{"id":"1uZeA4OLr3ECNQR7505JNvV-MZuvTWA4I","name":"OPERASIONAL_2_SLOT","url":"https://drive.google.com/drive/folders/1uZeA4OLr3ECNQR7505JNvV-MZuvTWA4I","parentName":"03_BACKUP_V3"},"latest":{"id":"1R0ZKHFueMrf62JbyXkZB0H7Rgwbs5BwE6k7-9x2vJEE","name":"BUKIT_PRAGO_V3_BACKUP_TERBARU","url":"https://docs.google.com/spreadsheets/d/1R0ZKHFueMrf62JbyXkZB0H7Rgwbs5BwE6k7-9x2vJEE/edit?usp=drivesdk","sizeBytes":1,"updatedAt":"2026-06-28 23:58:58"},"previous":{"id":"1pfs1gALklWTFk5khA0sp1DCHu-GmJ2kW1SlcoacydZk","name":"BUKIT_PRAGO_V3_BACKUP_SEBELUMNYA","url":"https://docs.google.com/spreadsheets/d/1pfs1gALklWTFk5khA0sp1DCHu-GmJ2kW1SlcoacydZk/edit?usp=drivesdk","sizeBytes":77749,"updatedAt":"2026-06-28 23:58:57"},"latestAvailable":true,"previousAvailable":true,"slotCount":2,"sourceSpreadsheetId":"1VvOfA3XovPv03PlEVv0fzMsF33QHj8kMnluAzRHrofg","sourceSpreadsheetName":"DATABASE APLIKASI KEBUN BUKIT PRAGO V3 CLEAN","activeYear":2026,"txTouched":false,"archiveTouched":false,"appConfigChanged":false}</t>
  </si>
  <si>
    <t>{"ok":true,"verified":true,"mode":"DAILY","timestamp":"2026-06-29 23:58:54","folder":{"id":"1uZeA4OLr3ECNQR7505JNvV-MZuvTWA4I","name":"OPERASIONAL_2_SLOT","url":"https://drive.google.com/drive/folders/1uZeA4OLr3ECNQR7505JNvV-MZuvTWA4I","parentName":"03_BACKUP_V3"},"latest":{"id":"1Y1fXKKpQReT7e-3ZoWaJulXGstqzCCtJIc8iJVwxkgE","name":"BUKIT_PRAGO_V3_BACKUP_TERBARU","url":"https://docs.google.com/spreadsheets/d/1Y1fXKKpQReT7e-3ZoWaJulXGstqzCCtJIc8iJVwxkgE/edit?usp=drivesdk","sizeBytes":1,"updatedAt":"2026-06-29 23:58:57"},"previous":{"id":"1qlVhs84VgF71MvpEZM0C2bTecWMIu4X5ZOXiro7yl1o","name":"BUKIT_PRAGO_V3_BACKUP_SEBELUMNYA","url":"https://docs.google.com/spreadsheets/d/1qlVhs84VgF71MvpEZM0C2bTecWMIu4X5ZOXiro7yl1o/edit?usp=drivesdk","sizeBytes":77880,"updatedAt":"2026-06-29 23:58:56"},"latestAvailable":true,"previousAvailable":true,"slotCount":2,"sourceSpreadsheetId":"1VvOfA3XovPv03PlEVv0fzMsF33QHj8kMnluAzRHrofg","sourceSpreadsheetName":"DATABASE APLIKASI KEBUN BUKIT PRAGO V3 CLEAN","activeYear":2026,"txTouched":false,"archiveTouched":false,"appConfigChanged":false}</t>
  </si>
  <si>
    <t>{"ok":true,"verified":true,"mode":"DAILY","timestamp":"2026-06-30 23:58:54","folder":{"id":"1uZeA4OLr3ECNQR7505JNvV-MZuvTWA4I","name":"OPERASIONAL_2_SLOT","url":"https://drive.google.com/drive/folders/1uZeA4OLr3ECNQR7505JNvV-MZuvTWA4I","parentName":"03_BACKUP_V3"},"latest":{"id":"1-YpZ9OzH3UoFpp_5rPe1cyGKPoF51lIr3KyZRHhpqI8","name":"BUKIT_PRAGO_V3_BACKUP_TERBARU","url":"https://docs.google.com/spreadsheets/d/1-YpZ9OzH3UoFpp_5rPe1cyGKPoF51lIr3KyZRHhpqI8/edit?usp=drivesdk","sizeBytes":1,"updatedAt":"2026-06-30 23:58:56"},"previous":{"id":"1Y1fXKKpQReT7e-3ZoWaJulXGstqzCCtJIc8iJVwxkgE","name":"BUKIT_PRAGO_V3_BACKUP_SEBELUMNYA","url":"https://docs.google.com/spreadsheets/d/1Y1fXKKpQReT7e-3ZoWaJulXGstqzCCtJIc8iJVwxkgE/edit?usp=drivesdk","sizeBytes":77973,"updatedAt":"2026-06-30 23:58:55"},"latestAvailable":true,"previousAvailable":true,"slotCount":2,"sourceSpreadsheetId":"1VvOfA3XovPv03PlEVv0fzMsF33QHj8kMnluAzRHrofg","sourceSpreadsheetName":"DATABASE APLIKASI KEBUN BUKIT PRAGO V3 CLEAN","activeYear":2026,"txTouched":false,"archiveTouched":false,"appConfigChanged":false}</t>
  </si>
  <si>
    <t>{"ok":true,"verified":true,"mode":"DAILY","timestamp":"2026-07-01 23:58:54","folder":{"id":"1uZeA4OLr3ECNQR7505JNvV-MZuvTWA4I","name":"OPERASIONAL_2_SLOT","url":"https://drive.google.com/drive/folders/1uZeA4OLr3ECNQR7505JNvV-MZuvTWA4I","parentName":"03_BACKUP_V3"},"latest":{"id":"1FSxvfAKiOciXvY61TZ93sGl4kX9LSQTU18_mw2S4bzc","name":"BUKIT_PRAGO_V3_BACKUP_TERBARU","url":"https://docs.google.com/spreadsheets/d/1FSxvfAKiOciXvY61TZ93sGl4kX9LSQTU18_mw2S4bzc/edit?usp=drivesdk","sizeBytes":1,"updatedAt":"2026-07-01 23:58:57"},"previous":{"id":"1G_PClg96xEJL79rmliwnGWtua3-q9INZIfx01ICz6y0","name":"BUKIT_PRAGO_V3_BACKUP_SEBELUMNYA","url":"https://docs.google.com/spreadsheets/d/1G_PClg96xEJL79rmliwnGWtua3-q9INZIfx01ICz6y0/edit?usp=drivesdk","sizeBytes":78002,"updatedAt":"2026-07-01 23:58:56"},"latestAvailable":true,"previousAvailable":true,"slotCount":2,"sourceSpreadsheetId":"1VvOfA3XovPv03PlEVv0fzMsF33QHj8kMnluAzRHrofg","sourceSpreadsheetName":"DATABASE APLIKASI KEBUN BUKIT PRAGO V3 CLEAN","activeYear":2026,"txTouched":false,"archiveTouched":false,"appConfigChanged":false}</t>
  </si>
  <si>
    <t>{"batch_id":"V3INPUT_2026_7_PANEN1_20260702_210109","label":"Juli PANEN 1","rows":{"penjualan":6,"biaya":11,"kas":3},"total":{"produksiKg":30675,"penjualanRp":104351310,"biayaRp":41210750,"kasRp":90411000}}</t>
  </si>
  <si>
    <t>{"batch_id":"V3PUPUK_2026_7_20260702_212108","rows":1,"totalJumlah":12710}</t>
  </si>
  <si>
    <t>{"ok":true,"verified":true,"mode":"DAILY","timestamp":"2026-07-02 23:58:54","folder":{"id":"1uZeA4OLr3ECNQR7505JNvV-MZuvTWA4I","name":"OPERASIONAL_2_SLOT","url":"https://drive.google.com/drive/folders/1uZeA4OLr3ECNQR7505JNvV-MZuvTWA4I","parentName":"03_BACKUP_V3"},"latest":{"id":"14b3JBzXdDsZWtdF302HukslvuaXQsEAPGNCJTXJu5Dw","name":"BUKIT_PRAGO_V3_BACKUP_TERBARU","url":"https://docs.google.com/spreadsheets/d/14b3JBzXdDsZWtdF302HukslvuaXQsEAPGNCJTXJu5Dw/edit?usp=drivesdk","sizeBytes":1,"updatedAt":"2026-07-02 23:59:00"},"previous":{"id":"1ChlVI6RpDePFI8EtnURinzoiHrlnvg-Fn6afpkzGvWM","name":"BUKIT_PRAGO_V3_BACKUP_SEBELUMNYA","url":"https://docs.google.com/spreadsheets/d/1ChlVI6RpDePFI8EtnURinzoiHrlnvg-Fn6afpkzGvWM/edit?usp=drivesdk","sizeBytes":78136,"updatedAt":"2026-07-02 23:58:57"},"latestAvailable":true,"previousAvailable":true,"slotCount":2,"sourceSpreadsheetId":"1VvOfA3XovPv03PlEVv0fzMsF33QHj8kMnluAzRHrofg","sourceSpreadsheetName":"DATABASE APLIKASI KEBUN BUKIT PRAGO V3 CLEAN","activeYear":2026,"txTouched":false,"archiveTouched":false,"appConfigChanged":false}</t>
  </si>
  <si>
    <t>{"ok":true,"verified":true,"mode":"DAILY","timestamp":"2026-07-03 23:58:54","folder":{"id":"1uZeA4OLr3ECNQR7505JNvV-MZuvTWA4I","name":"OPERASIONAL_2_SLOT","url":"https://drive.google.com/drive/folders/1uZeA4OLr3ECNQR7505JNvV-MZuvTWA4I","parentName":"03_BACKUP_V3"},"latest":{"id":"1HRs4myCADDnE5Ef6Mdi18fDVZreH9KMwikfCqLaVczs","name":"BUKIT_PRAGO_V3_BACKUP_TERBARU","url":"https://docs.google.com/spreadsheets/d/1HRs4myCADDnE5Ef6Mdi18fDVZreH9KMwikfCqLaVczs/edit?usp=drivesdk","sizeBytes":1,"updatedAt":"2026-07-03 23:58:57"},"previous":{"id":"1V0saDlVTaO5pTF618k6my3IgmpSgkYQ-g-nDg3lU5ak","name":"BUKIT_PRAGO_V3_BACKUP_SEBELUMNYA","url":"https://docs.google.com/spreadsheets/d/1V0saDlVTaO5pTF618k6my3IgmpSgkYQ-g-nDg3lU5ak/edit?usp=drivesdk","sizeBytes":78262,"updatedAt":"2026-07-03 23:58:56"},"latestAvailable":true,"previousAvailable":true,"slotCount":2,"sourceSpreadsheetId":"1VvOfA3XovPv03PlEVv0fzMsF33QHj8kMnluAzRHrofg","sourceSpreadsheetName":"DATABASE APLIKASI KEBUN BUKIT PRAGO V3 CLEAN","activeYear":2026,"txTouched":false,"archiveTouched":false,"appConfigChanged":false}</t>
  </si>
  <si>
    <t>{"ok":true,"verified":true,"mode":"DAILY","timestamp":"2026-07-04 23:58:54","folder":{"id":"1uZeA4OLr3ECNQR7505JNvV-MZuvTWA4I","name":"OPERASIONAL_2_SLOT","url":"https://drive.google.com/drive/folders/1uZeA4OLr3ECNQR7505JNvV-MZuvTWA4I","parentName":"03_BACKUP_V3"},"latest":{"id":"12zVkL8uKNHTapmRGeWp33tkow0JcSlkpUEjTDNkYcEw","name":"BUKIT_PRAGO_V3_BACKUP_TERBARU","url":"https://docs.google.com/spreadsheets/d/12zVkL8uKNHTapmRGeWp33tkow0JcSlkpUEjTDNkYcEw/edit?usp=drivesdk","sizeBytes":1,"updatedAt":"2026-07-04 23:58:57"},"previous":{"id":"1sm6OSgq63lTrMWLx0QlAm052wLvZd1VeJ0t2f7HB3H4","name":"BUKIT_PRAGO_V3_BACKUP_SEBELUMNYA","url":"https://docs.google.com/spreadsheets/d/1sm6OSgq63lTrMWLx0QlAm052wLvZd1VeJ0t2f7HB3H4/edit?usp=drivesdk","sizeBytes":78392,"updatedAt":"2026-07-04 23:58:56"},"latestAvailable":true,"previousAvailable":true,"slotCount":2,"sourceSpreadsheetId":"1VvOfA3XovPv03PlEVv0fzMsF33QHj8kMnluAzRHrofg","sourceSpreadsheetName":"DATABASE APLIKASI KEBUN BUKIT PRAGO V3 CLEAN","activeYear":2026,"txTouched":false,"archiveTouched":false,"appConfigChanged":false}</t>
  </si>
  <si>
    <t>{"ok":true,"verified":true,"mode":"DAILY","timestamp":"2026-07-05 23:58:54","folder":{"id":"1uZeA4OLr3ECNQR7505JNvV-MZuvTWA4I","name":"OPERASIONAL_2_SLOT","url":"https://drive.google.com/drive/folders/1uZeA4OLr3ECNQR7505JNvV-MZuvTWA4I","parentName":"03_BACKUP_V3"},"latest":{"id":"1zpSHbfH4B3cMgUznoQyAlldUp7y6IscY4QTISDYwQNM","name":"BUKIT_PRAGO_V3_BACKUP_TERBARU","url":"https://docs.google.com/spreadsheets/d/1zpSHbfH4B3cMgUznoQyAlldUp7y6IscY4QTISDYwQNM/edit?usp=drivesdk","sizeBytes":1,"updatedAt":"2026-07-05 23:58:57"},"previous":{"id":"1GcAASqM2GK-GEmQ9rtQoS-0bMJ5-AgfBgVYUv2cuu7k","name":"BUKIT_PRAGO_V3_BACKUP_SEBELUMNYA","url":"https://docs.google.com/spreadsheets/d/1GcAASqM2GK-GEmQ9rtQoS-0bMJ5-AgfBgVYUv2cuu7k/edit?usp=drivesdk","sizeBytes":78522,"updatedAt":"2026-07-05 23:58:56"},"latestAvailable":true,"previousAvailable":true,"slotCount":2,"sourceSpreadsheetId":"1VvOfA3XovPv03PlEVv0fzMsF33QHj8kMnluAzRHrofg","sourceSpreadsheetName":"DATABASE APLIKASI KEBUN BUKIT PRAGO V3 CLEAN","activeYear":2026,"txTouched":false,"archiveTouched":false,"appConfigChanged":false}</t>
  </si>
  <si>
    <t>{"ok":true,"verified":true,"mode":"DAILY","timestamp":"2026-07-06 23:58:54","folder":{"id":"1uZeA4OLr3ECNQR7505JNvV-MZuvTWA4I","name":"OPERASIONAL_2_SLOT","url":"https://drive.google.com/drive/folders/1uZeA4OLr3ECNQR7505JNvV-MZuvTWA4I","parentName":"03_BACKUP_V3"},"latest":{"id":"1g88N-rU87UlPWqnZFxoSYCpAJxP4bI8ptyb-8IqZXz8","name":"BUKIT_PRAGO_V3_BACKUP_TERBARU","url":"https://docs.google.com/spreadsheets/d/1g88N-rU87UlPWqnZFxoSYCpAJxP4bI8ptyb-8IqZXz8/edit?usp=drivesdk","sizeBytes":1,"updatedAt":"2026-07-06 23:58:57"},"previous":{"id":"1JYXbdpn0O4sK1GIYooSo18CZne0izPJHD5NcZZeV7NM","name":"BUKIT_PRAGO_V3_BACKUP_SEBELUMNYA","url":"https://docs.google.com/spreadsheets/d/1JYXbdpn0O4sK1GIYooSo18CZne0izPJHD5NcZZeV7NM/edit?usp=drivesdk","sizeBytes":78657,"updatedAt":"2026-07-06 23:58:56"},"latestAvailable":true,"previousAvailable":true,"slotCount":2,"sourceSpreadsheetId":"1VvOfA3XovPv03PlEVv0fzMsF33QHj8kMnluAzRHrofg","sourceSpreadsheetName":"DATABASE APLIKASI KEBUN BUKIT PRAGO V3 CLEAN","activeYear":2026,"txTouched":false,"archiveTouched":false,"appConfigChanged":false}</t>
  </si>
  <si>
    <t>{"ok":true,"verified":true,"mode":"DAILY","timestamp":"2026-07-07 23:58:59","folder":{"id":"1uZeA4OLr3ECNQR7505JNvV-MZuvTWA4I","name":"OPERASIONAL_2_SLOT","url":"https://drive.google.com/drive/folders/1uZeA4OLr3ECNQR7505JNvV-MZuvTWA4I","parentName":"03_BACKUP_V3"},"latest":{"id":"15i43fpRskwZ2wi9cdZmso8g1jWFOakAD_VeRRciEUwg","name":"BUKIT_PRAGO_V3_BACKUP_TERBARU","url":"https://docs.google.com/spreadsheets/d/15i43fpRskwZ2wi9cdZmso8g1jWFOakAD_VeRRciEUwg/edit?usp=drivesdk","sizeBytes":79780,"updatedAt":"2026-07-07 23:59:05"},"previous":{"id":"1S5U1wztQsEQB_TD1glFt6g0Q3CYgoO44YW7a_7VCO3c","name":"BUKIT_PRAGO_V3_BACKUP_SEBELUMNYA","url":"https://docs.google.com/spreadsheets/d/1S5U1wztQsEQB_TD1glFt6g0Q3CYgoO44YW7a_7VCO3c/edit?usp=drivesdk","sizeBytes":78807,"updatedAt":"2026-07-07 23:59:03"},"latestAvailable":true,"previousAvailable":true,"slotCount":2,"sourceSpreadsheetId":"1VvOfA3XovPv03PlEVv0fzMsF33QHj8kMnluAzRHrofg","sourceSpreadsheetName":"DATABASE APLIKASI KEBUN BUKIT PRAGO V3 CLEAN","activeYear":2026,"txTouched":false,"archiveTouched":false,"appConfigChanged":false}</t>
  </si>
  <si>
    <t>22/12</t>
  </si>
  <si>
    <t xml:space="preserve">brondolan </t>
  </si>
  <si>
    <t xml:space="preserve">premi pupuk </t>
  </si>
  <si>
    <t xml:space="preserve">beras </t>
  </si>
  <si>
    <t>04/01</t>
  </si>
  <si>
    <t>19/01</t>
  </si>
  <si>
    <t>02/02</t>
  </si>
  <si>
    <t xml:space="preserve">tukang </t>
  </si>
  <si>
    <t>15/02</t>
  </si>
  <si>
    <t xml:space="preserve">konsen </t>
  </si>
  <si>
    <t>27/02</t>
  </si>
  <si>
    <t>13/03</t>
  </si>
  <si>
    <t>27/03</t>
  </si>
  <si>
    <t xml:space="preserve">durian </t>
  </si>
  <si>
    <t>11/04</t>
  </si>
  <si>
    <t xml:space="preserve">Dp konsen </t>
  </si>
  <si>
    <t>26/04</t>
  </si>
  <si>
    <t xml:space="preserve">Tunas </t>
  </si>
  <si>
    <t>09/05</t>
  </si>
  <si>
    <t>23/05</t>
  </si>
  <si>
    <t xml:space="preserve">anggota </t>
  </si>
  <si>
    <t>06/06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</si>
</sst>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-mm-dd"/>
    <numFmt numFmtId="165" formatCode="m/d/yyyy h:mm:ss"/>
    <numFmt numFmtId="166" formatCode="d/m"/>
    <numFmt numFmtId="167" formatCode="dd/mm"/>
    <numFmt numFmtId="168" formatCode="dd/mm/yyyy"/>
    <numFmt numFmtId="169" formatCode="#,##0&quot;  Kg&quot;"/>
    <numFmt numFmtId="170" formatCode="_(&quot;Rp&quot;* #,##0_);_(&quot;Rp&quot;* (#,##0);_(&quot;Rp&quot;* &quot;-&quot;_);_(@_)"/>
    <numFmt numFmtId="171" formatCode="&quot;Rp    &quot; #,##0"/>
    <numFmt numFmtId="172" formatCode="&quot;HPP: Rp &quot;#,##0"/>
    <numFmt numFmtId="173" formatCode="&quot;Profit: Rp &quot;#,##0"/>
  </numFmts>
  <fonts count="1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sz val="11.0"/>
      <color rgb="FFFFFFFF"/>
      <name val="Carlito"/>
    </font>
    <font>
      <sz val="11.0"/>
      <color theme="1"/>
      <name val="Carlito"/>
    </font>
    <font>
      <sz val="11.0"/>
      <color rgb="FF000000"/>
      <name val="Carlito"/>
    </font>
    <font>
      <b/>
      <color rgb="FFFFFFFF"/>
      <name val="Arial"/>
    </font>
    <font>
      <b/>
      <color rgb="FFFFFFFF"/>
      <name val="Google Sans Flex"/>
    </font>
    <font>
      <color rgb="FF000000"/>
      <name val="Arial"/>
    </font>
    <font>
      <b/>
      <color theme="1"/>
      <name val="Arial"/>
    </font>
    <font>
      <b/>
      <color rgb="FF274E13"/>
      <name val="Arial"/>
    </font>
    <font>
      <b/>
      <color rgb="FF000000"/>
      <name val="Arial"/>
    </font>
    <font>
      <b/>
      <color rgb="FF4C1130"/>
      <name val="Arial"/>
    </font>
    <font>
      <b/>
      <color rgb="FF000000"/>
      <name val="Google Sans Flex"/>
    </font>
    <font/>
  </fonts>
  <fills count="25">
    <fill>
      <patternFill patternType="none"/>
    </fill>
    <fill>
      <patternFill patternType="lightGray"/>
    </fill>
    <fill>
      <patternFill patternType="solid">
        <fgColor rgb="FF0F766E"/>
        <bgColor rgb="FF0F766E"/>
      </patternFill>
    </fill>
    <fill>
      <patternFill patternType="solid">
        <fgColor rgb="FF087F3C"/>
        <bgColor rgb="FF087F3C"/>
      </patternFill>
    </fill>
    <fill>
      <patternFill patternType="solid">
        <fgColor rgb="FF374151"/>
        <bgColor rgb="FF374151"/>
      </patternFill>
    </fill>
    <fill>
      <patternFill patternType="solid">
        <fgColor rgb="FFB45309"/>
        <bgColor rgb="FFB45309"/>
      </patternFill>
    </fill>
    <fill>
      <patternFill patternType="solid">
        <fgColor rgb="FF1D4ED8"/>
        <bgColor rgb="FF1D4ED8"/>
      </patternFill>
    </fill>
    <fill>
      <patternFill patternType="solid">
        <fgColor rgb="FFC0E6F5"/>
        <bgColor rgb="FFC0E6F5"/>
      </patternFill>
    </fill>
    <fill>
      <patternFill patternType="solid">
        <fgColor rgb="FF111827"/>
        <bgColor rgb="FF111827"/>
      </patternFill>
    </fill>
    <fill>
      <patternFill patternType="solid">
        <fgColor rgb="FFCA8A04"/>
        <bgColor rgb="FFCA8A04"/>
      </patternFill>
    </fill>
    <fill>
      <patternFill patternType="solid">
        <fgColor rgb="FF7C3AED"/>
        <bgColor rgb="FF7C3AED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16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0" fillId="4" fontId="1" numFmtId="0" xfId="0" applyAlignment="1" applyFill="1" applyFont="1">
      <alignment horizontal="center" readingOrder="0" shrinkToFit="0" vertical="center" wrapText="1"/>
    </xf>
    <xf borderId="0" fillId="0" fontId="2" numFmtId="166" xfId="0" applyAlignment="1" applyFont="1" applyNumberFormat="1">
      <alignment readingOrder="0"/>
    </xf>
    <xf borderId="0" fillId="0" fontId="2" numFmtId="3" xfId="0" applyFont="1" applyNumberFormat="1"/>
    <xf borderId="0" fillId="0" fontId="2" numFmtId="167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5" fontId="3" numFmtId="0" xfId="0" applyAlignment="1" applyFill="1" applyFont="1">
      <alignment horizontal="center" readingOrder="0" shrinkToFit="0" vertical="center" wrapText="1"/>
    </xf>
    <xf borderId="0" fillId="2" fontId="3" numFmtId="0" xfId="0" applyAlignment="1" applyFont="1">
      <alignment horizontal="center" shrinkToFit="0" vertical="bottom" wrapText="0"/>
    </xf>
    <xf borderId="0" fillId="0" fontId="4" numFmtId="1" xfId="0" applyAlignment="1" applyFont="1" applyNumberFormat="1">
      <alignment horizontal="right" readingOrder="0"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4" numFmtId="3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5" fontId="3" numFmtId="4" xfId="0" applyAlignment="1" applyFont="1" applyNumberFormat="1">
      <alignment horizontal="center" readingOrder="0" shrinkToFit="0" vertical="center" wrapText="1"/>
    </xf>
    <xf borderId="0" fillId="0" fontId="4" numFmtId="3" xfId="0" applyAlignment="1" applyFont="1" applyNumberFormat="1">
      <alignment readingOrder="0" shrinkToFit="0" vertical="bottom" wrapText="0"/>
    </xf>
    <xf borderId="0" fillId="0" fontId="2" numFmtId="4" xfId="0" applyFont="1" applyNumberFormat="1"/>
    <xf borderId="0" fillId="5" fontId="1" numFmtId="0" xfId="0" applyAlignment="1" applyFont="1">
      <alignment horizontal="center" readingOrder="0" shrinkToFit="0" vertical="center" wrapText="1"/>
    </xf>
    <xf borderId="0" fillId="6" fontId="1" numFmtId="0" xfId="0" applyAlignment="1" applyFill="1" applyFont="1">
      <alignment horizontal="center" readingOrder="0" shrinkToFit="0" vertical="center" wrapText="1"/>
    </xf>
    <xf borderId="0" fillId="0" fontId="2" numFmtId="164" xfId="0" applyFont="1" applyNumberFormat="1"/>
    <xf borderId="0" fillId="0" fontId="2" numFmtId="1" xfId="0" applyFont="1" applyNumberFormat="1"/>
    <xf borderId="1" fillId="5" fontId="3" numFmtId="0" xfId="0" applyAlignment="1" applyBorder="1" applyFont="1">
      <alignment horizontal="center" readingOrder="0" shrinkToFit="0" vertical="center" wrapText="1"/>
    </xf>
    <xf borderId="2" fillId="5" fontId="3" numFmtId="0" xfId="0" applyAlignment="1" applyBorder="1" applyFont="1">
      <alignment horizontal="center" readingOrder="0" shrinkToFit="0" vertical="center" wrapText="1"/>
    </xf>
    <xf borderId="3" fillId="5" fontId="3" numFmtId="0" xfId="0" applyAlignment="1" applyBorder="1" applyFont="1">
      <alignment horizontal="center" readingOrder="0" shrinkToFit="0" vertical="center" wrapText="1"/>
    </xf>
    <xf borderId="1" fillId="7" fontId="5" numFmtId="0" xfId="0" applyAlignment="1" applyBorder="1" applyFill="1" applyFont="1">
      <alignment readingOrder="0" shrinkToFit="0" vertical="bottom" wrapText="0"/>
    </xf>
    <xf borderId="2" fillId="7" fontId="5" numFmtId="0" xfId="0" applyAlignment="1" applyBorder="1" applyFont="1">
      <alignment readingOrder="0" shrinkToFit="0" vertical="bottom" wrapText="0"/>
    </xf>
    <xf borderId="2" fillId="7" fontId="5" numFmtId="1" xfId="0" applyAlignment="1" applyBorder="1" applyFont="1" applyNumberFormat="1">
      <alignment horizontal="right" readingOrder="0" shrinkToFit="0" vertical="bottom" wrapText="0"/>
    </xf>
    <xf borderId="2" fillId="7" fontId="5" numFmtId="164" xfId="0" applyAlignment="1" applyBorder="1" applyFont="1" applyNumberFormat="1">
      <alignment readingOrder="0" shrinkToFit="0" vertical="bottom" wrapText="0"/>
    </xf>
    <xf borderId="2" fillId="7" fontId="5" numFmtId="3" xfId="0" applyAlignment="1" applyBorder="1" applyFont="1" applyNumberFormat="1">
      <alignment horizontal="right" readingOrder="0" shrinkToFit="0" vertical="bottom" wrapText="0"/>
    </xf>
    <xf borderId="2" fillId="7" fontId="5" numFmtId="3" xfId="0" applyAlignment="1" applyBorder="1" applyFont="1" applyNumberFormat="1">
      <alignment horizontal="center" readingOrder="0" shrinkToFit="0" vertical="bottom" wrapText="0"/>
    </xf>
    <xf borderId="3" fillId="7" fontId="5" numFmtId="1" xfId="0" applyAlignment="1" applyBorder="1" applyFont="1" applyNumberFormat="1">
      <alignment readingOrder="0" shrinkToFit="0" vertical="bottom" wrapText="0"/>
    </xf>
    <xf borderId="0" fillId="0" fontId="2" numFmtId="3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readingOrder="0" shrinkToFit="0" vertical="bottom" wrapText="0"/>
    </xf>
    <xf borderId="2" fillId="0" fontId="5" numFmtId="1" xfId="0" applyAlignment="1" applyBorder="1" applyFont="1" applyNumberFormat="1">
      <alignment horizontal="right" readingOrder="0" shrinkToFit="0" vertical="bottom" wrapText="0"/>
    </xf>
    <xf borderId="2" fillId="0" fontId="5" numFmtId="164" xfId="0" applyAlignment="1" applyBorder="1" applyFont="1" applyNumberFormat="1">
      <alignment readingOrder="0" shrinkToFit="0" vertical="bottom" wrapText="0"/>
    </xf>
    <xf borderId="2" fillId="0" fontId="5" numFmtId="3" xfId="0" applyAlignment="1" applyBorder="1" applyFont="1" applyNumberFormat="1">
      <alignment horizontal="right" readingOrder="0" shrinkToFit="0" vertical="bottom" wrapText="0"/>
    </xf>
    <xf borderId="2" fillId="0" fontId="5" numFmtId="3" xfId="0" applyAlignment="1" applyBorder="1" applyFont="1" applyNumberFormat="1">
      <alignment horizontal="center" readingOrder="0" shrinkToFit="0" vertical="bottom" wrapText="0"/>
    </xf>
    <xf borderId="3" fillId="0" fontId="5" numFmtId="1" xfId="0" applyAlignment="1" applyBorder="1" applyFont="1" applyNumberFormat="1">
      <alignment readingOrder="0" shrinkToFit="0" vertical="bottom" wrapText="0"/>
    </xf>
    <xf borderId="2" fillId="7" fontId="5" numFmtId="164" xfId="0" applyAlignment="1" applyBorder="1" applyFont="1" applyNumberFormat="1">
      <alignment shrinkToFit="0" vertical="bottom" wrapText="0"/>
    </xf>
    <xf borderId="2" fillId="7" fontId="5" numFmtId="3" xfId="0" applyAlignment="1" applyBorder="1" applyFont="1" applyNumberFormat="1">
      <alignment readingOrder="0" shrinkToFit="0" vertical="bottom" wrapText="0"/>
    </xf>
    <xf borderId="2" fillId="0" fontId="5" numFmtId="3" xfId="0" applyAlignment="1" applyBorder="1" applyFont="1" applyNumberFormat="1">
      <alignment readingOrder="0" shrinkToFit="0" vertical="bottom" wrapText="0"/>
    </xf>
    <xf borderId="2" fillId="7" fontId="5" numFmtId="0" xfId="0" applyAlignment="1" applyBorder="1" applyFont="1">
      <alignment shrinkToFit="0" vertical="bottom" wrapText="0"/>
    </xf>
    <xf borderId="2" fillId="0" fontId="5" numFmtId="0" xfId="0" applyAlignment="1" applyBorder="1" applyFont="1">
      <alignment shrinkToFit="0" vertical="bottom" wrapText="0"/>
    </xf>
    <xf borderId="2" fillId="0" fontId="5" numFmtId="164" xfId="0" applyAlignment="1" applyBorder="1" applyFont="1" applyNumberFormat="1">
      <alignment shrinkToFit="0" vertical="bottom" wrapText="0"/>
    </xf>
    <xf borderId="2" fillId="7" fontId="5" numFmtId="2" xfId="0" applyAlignment="1" applyBorder="1" applyFont="1" applyNumberFormat="1">
      <alignment horizontal="right" readingOrder="0" shrinkToFit="0" vertical="bottom" wrapText="0"/>
    </xf>
    <xf borderId="2" fillId="0" fontId="5" numFmtId="2" xfId="0" applyAlignment="1" applyBorder="1" applyFont="1" applyNumberFormat="1">
      <alignment horizontal="right" readingOrder="0" shrinkToFit="0" vertical="bottom" wrapText="0"/>
    </xf>
    <xf borderId="2" fillId="7" fontId="5" numFmtId="3" xfId="0" applyAlignment="1" applyBorder="1" applyFont="1" applyNumberFormat="1">
      <alignment readingOrder="0" shrinkToFit="0" vertical="bottom" wrapText="0"/>
    </xf>
    <xf borderId="2" fillId="0" fontId="5" numFmtId="3" xfId="0" applyAlignment="1" applyBorder="1" applyFont="1" applyNumberFormat="1">
      <alignment readingOrder="0" shrinkToFit="0" vertical="bottom" wrapText="0"/>
    </xf>
    <xf borderId="0" fillId="8" fontId="1" numFmtId="0" xfId="0" applyAlignment="1" applyFill="1" applyFont="1">
      <alignment horizontal="center" readingOrder="0" shrinkToFit="0" vertical="center" wrapText="1"/>
    </xf>
    <xf borderId="0" fillId="9" fontId="1" numFmtId="0" xfId="0" applyAlignment="1" applyFill="1" applyFont="1">
      <alignment horizontal="center" readingOrder="0" shrinkToFit="0" vertical="center" wrapText="1"/>
    </xf>
    <xf borderId="0" fillId="10" fontId="1" numFmtId="0" xfId="0" applyAlignment="1" applyFill="1" applyFont="1">
      <alignment horizontal="center" readingOrder="0" shrinkToFit="0" vertical="center" wrapText="1"/>
    </xf>
    <xf borderId="4" fillId="8" fontId="6" numFmtId="49" xfId="0" applyAlignment="1" applyBorder="1" applyFont="1" applyNumberFormat="1">
      <alignment horizontal="center" shrinkToFit="0" vertical="center" wrapText="1"/>
    </xf>
    <xf borderId="4" fillId="8" fontId="6" numFmtId="169" xfId="0" applyAlignment="1" applyBorder="1" applyFont="1" applyNumberFormat="1">
      <alignment horizontal="center" shrinkToFit="0" vertical="center" wrapText="1"/>
    </xf>
    <xf borderId="4" fillId="8" fontId="6" numFmtId="0" xfId="0" applyAlignment="1" applyBorder="1" applyFont="1">
      <alignment horizontal="center" shrinkToFit="0" vertical="center" wrapText="1"/>
    </xf>
    <xf borderId="4" fillId="8" fontId="6" numFmtId="3" xfId="0" applyAlignment="1" applyBorder="1" applyFont="1" applyNumberFormat="1">
      <alignment horizontal="center" shrinkToFit="0" vertical="center" wrapText="1"/>
    </xf>
    <xf borderId="4" fillId="8" fontId="6" numFmtId="170" xfId="0" applyAlignment="1" applyBorder="1" applyFont="1" applyNumberFormat="1">
      <alignment horizontal="center" shrinkToFit="0" vertical="center" wrapText="1"/>
    </xf>
    <xf borderId="4" fillId="8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/>
    </xf>
    <xf borderId="0" fillId="11" fontId="8" numFmtId="49" xfId="0" applyAlignment="1" applyFill="1" applyFont="1" applyNumberFormat="1">
      <alignment horizontal="center"/>
    </xf>
    <xf borderId="0" fillId="11" fontId="9" numFmtId="169" xfId="0" applyAlignment="1" applyFont="1" applyNumberFormat="1">
      <alignment horizontal="center" vertical="bottom"/>
    </xf>
    <xf borderId="0" fillId="11" fontId="10" numFmtId="0" xfId="0" applyAlignment="1" applyFont="1">
      <alignment horizontal="center"/>
    </xf>
    <xf borderId="0" fillId="11" fontId="11" numFmtId="3" xfId="0" applyAlignment="1" applyFont="1" applyNumberFormat="1">
      <alignment horizontal="center"/>
    </xf>
    <xf borderId="0" fillId="11" fontId="11" numFmtId="3" xfId="0" applyAlignment="1" applyFont="1" applyNumberFormat="1">
      <alignment horizontal="left"/>
    </xf>
    <xf borderId="5" fillId="11" fontId="11" numFmtId="0" xfId="0" applyBorder="1" applyFont="1"/>
    <xf borderId="0" fillId="11" fontId="9" numFmtId="0" xfId="0" applyAlignment="1" applyFont="1">
      <alignment horizontal="left" vertical="bottom"/>
    </xf>
    <xf borderId="6" fillId="11" fontId="12" numFmtId="3" xfId="0" applyAlignment="1" applyBorder="1" applyFont="1" applyNumberFormat="1">
      <alignment horizontal="center"/>
    </xf>
    <xf borderId="0" fillId="12" fontId="13" numFmtId="0" xfId="0" applyFill="1" applyFont="1"/>
    <xf borderId="0" fillId="12" fontId="11" numFmtId="3" xfId="0" applyFont="1" applyNumberFormat="1"/>
    <xf borderId="5" fillId="13" fontId="11" numFmtId="0" xfId="0" applyBorder="1" applyFill="1" applyFont="1"/>
    <xf borderId="0" fillId="13" fontId="11" numFmtId="3" xfId="0" applyFont="1" applyNumberFormat="1"/>
    <xf borderId="5" fillId="0" fontId="8" numFmtId="0" xfId="0" applyBorder="1" applyFont="1"/>
    <xf borderId="0" fillId="0" fontId="8" numFmtId="0" xfId="0" applyFont="1"/>
    <xf borderId="0" fillId="14" fontId="9" numFmtId="169" xfId="0" applyAlignment="1" applyFill="1" applyFont="1" applyNumberFormat="1">
      <alignment horizontal="center" vertical="bottom"/>
    </xf>
    <xf borderId="0" fillId="14" fontId="10" numFmtId="0" xfId="0" applyAlignment="1" applyFont="1">
      <alignment horizontal="center"/>
    </xf>
    <xf borderId="0" fillId="14" fontId="11" numFmtId="3" xfId="0" applyAlignment="1" applyFont="1" applyNumberFormat="1">
      <alignment horizontal="center"/>
    </xf>
    <xf borderId="0" fillId="14" fontId="11" numFmtId="3" xfId="0" applyAlignment="1" applyFont="1" applyNumberFormat="1">
      <alignment horizontal="left"/>
    </xf>
    <xf borderId="5" fillId="15" fontId="11" numFmtId="0" xfId="0" applyBorder="1" applyFill="1" applyFont="1"/>
    <xf borderId="0" fillId="15" fontId="9" numFmtId="0" xfId="0" applyAlignment="1" applyFont="1">
      <alignment horizontal="left" vertical="bottom"/>
    </xf>
    <xf borderId="6" fillId="15" fontId="12" numFmtId="3" xfId="0" applyAlignment="1" applyBorder="1" applyFont="1" applyNumberFormat="1">
      <alignment horizontal="left"/>
    </xf>
    <xf borderId="0" fillId="16" fontId="13" numFmtId="0" xfId="0" applyFill="1" applyFont="1"/>
    <xf borderId="0" fillId="16" fontId="11" numFmtId="3" xfId="0" applyFont="1" applyNumberFormat="1"/>
    <xf borderId="5" fillId="17" fontId="11" numFmtId="0" xfId="0" applyBorder="1" applyFill="1" applyFont="1"/>
    <xf borderId="0" fillId="17" fontId="11" numFmtId="3" xfId="0" applyFont="1" applyNumberFormat="1"/>
    <xf borderId="0" fillId="11" fontId="11" numFmtId="0" xfId="0" applyAlignment="1" applyFont="1">
      <alignment horizontal="left"/>
    </xf>
    <xf borderId="6" fillId="11" fontId="12" numFmtId="3" xfId="0" applyAlignment="1" applyBorder="1" applyFont="1" applyNumberFormat="1">
      <alignment horizontal="left"/>
    </xf>
    <xf borderId="0" fillId="15" fontId="11" numFmtId="0" xfId="0" applyAlignment="1" applyFont="1">
      <alignment horizontal="left"/>
    </xf>
    <xf borderId="5" fillId="18" fontId="11" numFmtId="0" xfId="0" applyBorder="1" applyFill="1" applyFont="1"/>
    <xf borderId="0" fillId="14" fontId="11" numFmtId="169" xfId="0" applyAlignment="1" applyFont="1" applyNumberFormat="1">
      <alignment horizontal="right"/>
    </xf>
    <xf borderId="4" fillId="19" fontId="11" numFmtId="169" xfId="0" applyAlignment="1" applyBorder="1" applyFill="1" applyFont="1" applyNumberFormat="1">
      <alignment horizontal="center"/>
    </xf>
    <xf borderId="7" fillId="11" fontId="10" numFmtId="0" xfId="0" applyAlignment="1" applyBorder="1" applyFont="1">
      <alignment horizontal="center"/>
    </xf>
    <xf borderId="8" fillId="0" fontId="14" numFmtId="0" xfId="0" applyBorder="1" applyFont="1"/>
    <xf borderId="9" fillId="19" fontId="11" numFmtId="3" xfId="0" applyAlignment="1" applyBorder="1" applyFont="1" applyNumberFormat="1">
      <alignment horizontal="left"/>
    </xf>
    <xf borderId="4" fillId="19" fontId="13" numFmtId="0" xfId="0" applyAlignment="1" applyBorder="1" applyFont="1">
      <alignment horizontal="center"/>
    </xf>
    <xf borderId="4" fillId="19" fontId="11" numFmtId="3" xfId="0" applyBorder="1" applyFont="1" applyNumberFormat="1"/>
    <xf borderId="0" fillId="11" fontId="11" numFmtId="169" xfId="0" applyAlignment="1" applyFont="1" applyNumberFormat="1">
      <alignment horizontal="center"/>
    </xf>
    <xf borderId="0" fillId="20" fontId="13" numFmtId="0" xfId="0" applyAlignment="1" applyFill="1" applyFont="1">
      <alignment horizontal="right"/>
    </xf>
    <xf borderId="6" fillId="20" fontId="11" numFmtId="3" xfId="0" applyBorder="1" applyFont="1" applyNumberFormat="1"/>
    <xf borderId="4" fillId="21" fontId="13" numFmtId="0" xfId="0" applyAlignment="1" applyBorder="1" applyFill="1" applyFont="1">
      <alignment horizontal="center"/>
    </xf>
    <xf borderId="4" fillId="21" fontId="11" numFmtId="3" xfId="0" applyBorder="1" applyFont="1" applyNumberFormat="1"/>
    <xf borderId="5" fillId="13" fontId="11" numFmtId="171" xfId="0" applyBorder="1" applyFont="1" applyNumberFormat="1"/>
    <xf borderId="0" fillId="15" fontId="12" numFmtId="3" xfId="0" applyAlignment="1" applyFont="1" applyNumberFormat="1">
      <alignment horizontal="left"/>
    </xf>
    <xf borderId="10" fillId="12" fontId="13" numFmtId="172" xfId="0" applyAlignment="1" applyBorder="1" applyFont="1" applyNumberFormat="1">
      <alignment horizontal="right"/>
    </xf>
    <xf borderId="11" fillId="12" fontId="11" numFmtId="3" xfId="0" applyAlignment="1" applyBorder="1" applyFont="1" applyNumberFormat="1">
      <alignment horizontal="center"/>
    </xf>
    <xf borderId="12" fillId="22" fontId="13" numFmtId="173" xfId="0" applyAlignment="1" applyBorder="1" applyFill="1" applyFont="1" applyNumberFormat="1">
      <alignment horizontal="right"/>
    </xf>
    <xf borderId="12" fillId="22" fontId="11" numFmtId="3" xfId="0" applyAlignment="1" applyBorder="1" applyFont="1" applyNumberFormat="1">
      <alignment horizontal="center"/>
    </xf>
    <xf borderId="13" fillId="19" fontId="11" numFmtId="0" xfId="0" applyAlignment="1" applyBorder="1" applyFont="1">
      <alignment horizontal="center"/>
    </xf>
    <xf borderId="13" fillId="19" fontId="11" numFmtId="3" xfId="0" applyAlignment="1" applyBorder="1" applyFont="1" applyNumberFormat="1">
      <alignment horizontal="left"/>
    </xf>
    <xf borderId="4" fillId="23" fontId="11" numFmtId="49" xfId="0" applyAlignment="1" applyBorder="1" applyFill="1" applyFont="1" applyNumberFormat="1">
      <alignment horizontal="center"/>
    </xf>
    <xf borderId="4" fillId="23" fontId="11" numFmtId="169" xfId="0" applyAlignment="1" applyBorder="1" applyFont="1" applyNumberFormat="1">
      <alignment horizontal="center"/>
    </xf>
    <xf borderId="4" fillId="23" fontId="11" numFmtId="0" xfId="0" applyAlignment="1" applyBorder="1" applyFont="1">
      <alignment horizontal="center"/>
    </xf>
    <xf borderId="4" fillId="23" fontId="11" numFmtId="3" xfId="0" applyAlignment="1" applyBorder="1" applyFont="1" applyNumberFormat="1">
      <alignment horizontal="center"/>
    </xf>
    <xf borderId="4" fillId="23" fontId="13" numFmtId="0" xfId="0" applyAlignment="1" applyBorder="1" applyFont="1">
      <alignment horizontal="center"/>
    </xf>
    <xf borderId="5" fillId="0" fontId="8" numFmtId="0" xfId="0" applyAlignment="1" applyBorder="1" applyFont="1">
      <alignment horizontal="center"/>
    </xf>
    <xf borderId="0" fillId="14" fontId="11" numFmtId="169" xfId="0" applyAlignment="1" applyFont="1" applyNumberFormat="1">
      <alignment horizontal="center"/>
    </xf>
    <xf borderId="0" fillId="20" fontId="11" numFmtId="3" xfId="0" applyFont="1" applyNumberFormat="1"/>
    <xf borderId="11" fillId="12" fontId="13" numFmtId="172" xfId="0" applyAlignment="1" applyBorder="1" applyFont="1" applyNumberFormat="1">
      <alignment horizontal="right"/>
    </xf>
    <xf borderId="14" fillId="19" fontId="11" numFmtId="169" xfId="0" applyAlignment="1" applyBorder="1" applyFont="1" applyNumberFormat="1">
      <alignment horizontal="center"/>
    </xf>
    <xf borderId="15" fillId="11" fontId="10" numFmtId="0" xfId="0" applyAlignment="1" applyBorder="1" applyFont="1">
      <alignment horizontal="center"/>
    </xf>
    <xf borderId="4" fillId="22" fontId="13" numFmtId="173" xfId="0" applyAlignment="1" applyBorder="1" applyFont="1" applyNumberFormat="1">
      <alignment horizontal="right"/>
    </xf>
    <xf borderId="4" fillId="22" fontId="11" numFmtId="3" xfId="0" applyAlignment="1" applyBorder="1" applyFont="1" applyNumberFormat="1">
      <alignment horizontal="center"/>
    </xf>
    <xf borderId="0" fillId="24" fontId="11" numFmtId="169" xfId="0" applyAlignment="1" applyFill="1" applyFont="1" applyNumberFormat="1">
      <alignment horizontal="center"/>
    </xf>
    <xf borderId="4" fillId="19" fontId="11" numFmtId="3" xfId="0" applyAlignment="1" applyBorder="1" applyFont="1" applyNumberFormat="1">
      <alignment horizontal="left"/>
    </xf>
    <xf borderId="7" fillId="0" fontId="8" numFmtId="49" xfId="0" applyAlignment="1" applyBorder="1" applyFont="1" applyNumberFormat="1">
      <alignment horizontal="center"/>
    </xf>
    <xf borderId="7" fillId="0" fontId="11" numFmtId="169" xfId="0" applyAlignment="1" applyBorder="1" applyFont="1" applyNumberFormat="1">
      <alignment horizontal="center"/>
    </xf>
    <xf borderId="7" fillId="0" fontId="10" numFmtId="0" xfId="0" applyAlignment="1" applyBorder="1" applyFont="1">
      <alignment horizontal="center"/>
    </xf>
    <xf borderId="7" fillId="0" fontId="11" numFmtId="0" xfId="0" applyAlignment="1" applyBorder="1" applyFont="1">
      <alignment horizontal="center"/>
    </xf>
    <xf borderId="7" fillId="0" fontId="11" numFmtId="170" xfId="0" applyAlignment="1" applyBorder="1" applyFont="1" applyNumberFormat="1">
      <alignment horizontal="left"/>
    </xf>
    <xf borderId="15" fillId="0" fontId="11" numFmtId="0" xfId="0" applyBorder="1" applyFont="1"/>
    <xf borderId="7" fillId="0" fontId="11" numFmtId="0" xfId="0" applyAlignment="1" applyBorder="1" applyFont="1">
      <alignment horizontal="left"/>
    </xf>
    <xf borderId="8" fillId="0" fontId="8" numFmtId="170" xfId="0" applyAlignment="1" applyBorder="1" applyFont="1" applyNumberFormat="1">
      <alignment horizontal="left"/>
    </xf>
    <xf borderId="7" fillId="0" fontId="13" numFmtId="0" xfId="0" applyBorder="1" applyFont="1"/>
    <xf borderId="7" fillId="0" fontId="11" numFmtId="170" xfId="0" applyBorder="1" applyFont="1" applyNumberFormat="1"/>
    <xf borderId="7" fillId="0" fontId="11" numFmtId="0" xfId="0" applyBorder="1" applyFont="1"/>
    <xf borderId="0" fillId="0" fontId="8" numFmtId="49" xfId="0" applyAlignment="1" applyFont="1" applyNumberFormat="1">
      <alignment horizontal="center"/>
    </xf>
    <xf borderId="0" fillId="0" fontId="11" numFmtId="169" xfId="0" applyAlignment="1" applyFont="1" applyNumberFormat="1">
      <alignment horizontal="center"/>
    </xf>
    <xf borderId="0" fillId="0" fontId="10" numFmtId="0" xfId="0" applyAlignment="1" applyFont="1">
      <alignment horizontal="center"/>
    </xf>
    <xf borderId="0" fillId="0" fontId="11" numFmtId="3" xfId="0" applyAlignment="1" applyFont="1" applyNumberFormat="1">
      <alignment horizontal="center"/>
    </xf>
    <xf borderId="0" fillId="0" fontId="11" numFmtId="170" xfId="0" applyAlignment="1" applyFont="1" applyNumberFormat="1">
      <alignment horizontal="left"/>
    </xf>
    <xf borderId="0" fillId="0" fontId="11" numFmtId="0" xfId="0" applyFont="1"/>
    <xf borderId="0" fillId="0" fontId="11" numFmtId="0" xfId="0" applyAlignment="1" applyFont="1">
      <alignment horizontal="left"/>
    </xf>
    <xf borderId="0" fillId="0" fontId="8" numFmtId="170" xfId="0" applyAlignment="1" applyFont="1" applyNumberFormat="1">
      <alignment horizontal="left"/>
    </xf>
    <xf borderId="0" fillId="0" fontId="13" numFmtId="0" xfId="0" applyFont="1"/>
    <xf borderId="0" fillId="0" fontId="11" numFmtId="17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A34A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hidden="1" min="1" max="1" width="17.63"/>
    <col customWidth="1" hidden="1" min="2" max="3" width="20.5"/>
    <col customWidth="1" min="4" max="4" width="8.0"/>
    <col customWidth="1" min="5" max="6" width="12.0"/>
    <col customWidth="1" min="7" max="7" width="12.38"/>
    <col customWidth="1" min="8" max="8" width="10.38"/>
    <col customWidth="1" min="9" max="9" width="7.63"/>
    <col customWidth="1" min="10" max="10" width="9.13"/>
    <col customWidth="1" min="11" max="11" width="18.88"/>
    <col customWidth="1" min="12" max="12" width="25.13"/>
    <col customWidth="1" min="13" max="13" width="11.75"/>
    <col customWidth="1" min="14" max="14" width="10.38"/>
    <col customWidth="1" min="15" max="15" width="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3" t="s">
        <v>16</v>
      </c>
      <c r="D2" s="2" t="s">
        <v>17</v>
      </c>
      <c r="E2" s="4">
        <v>2026.0</v>
      </c>
      <c r="F2" s="4">
        <v>1.0</v>
      </c>
      <c r="G2" s="3">
        <v>46013.0</v>
      </c>
      <c r="H2" s="5">
        <v>3753.0</v>
      </c>
      <c r="I2" s="5">
        <v>3080.0</v>
      </c>
      <c r="J2" s="5">
        <v>1.155924E7</v>
      </c>
      <c r="K2" s="2" t="s">
        <v>18</v>
      </c>
      <c r="L2" s="2" t="s">
        <v>19</v>
      </c>
      <c r="M2" s="4">
        <v>2.0</v>
      </c>
      <c r="N2" s="4">
        <v>1.0</v>
      </c>
    </row>
    <row r="3">
      <c r="A3" s="2" t="s">
        <v>20</v>
      </c>
      <c r="B3" s="3" t="s">
        <v>16</v>
      </c>
      <c r="C3" s="3" t="s">
        <v>16</v>
      </c>
      <c r="D3" s="2" t="s">
        <v>17</v>
      </c>
      <c r="E3" s="4">
        <v>2026.0</v>
      </c>
      <c r="F3" s="4">
        <v>1.0</v>
      </c>
      <c r="G3" s="3">
        <v>46013.0</v>
      </c>
      <c r="H3" s="5">
        <v>3194.0</v>
      </c>
      <c r="I3" s="5">
        <v>3080.0</v>
      </c>
      <c r="J3" s="5">
        <v>9837520.0</v>
      </c>
      <c r="K3" s="2" t="s">
        <v>18</v>
      </c>
      <c r="L3" s="2" t="s">
        <v>19</v>
      </c>
      <c r="M3" s="4">
        <v>3.0</v>
      </c>
      <c r="N3" s="4">
        <v>1.0</v>
      </c>
    </row>
    <row r="4">
      <c r="A4" s="2" t="s">
        <v>21</v>
      </c>
      <c r="B4" s="3" t="s">
        <v>16</v>
      </c>
      <c r="C4" s="3" t="s">
        <v>16</v>
      </c>
      <c r="D4" s="2" t="s">
        <v>17</v>
      </c>
      <c r="E4" s="4">
        <v>2026.0</v>
      </c>
      <c r="F4" s="4">
        <v>1.0</v>
      </c>
      <c r="G4" s="3">
        <v>46013.0</v>
      </c>
      <c r="H4" s="5">
        <v>6230.0</v>
      </c>
      <c r="I4" s="5">
        <v>3080.0</v>
      </c>
      <c r="J4" s="5">
        <v>1.91884E7</v>
      </c>
      <c r="K4" s="2" t="s">
        <v>18</v>
      </c>
      <c r="L4" s="2" t="s">
        <v>19</v>
      </c>
      <c r="M4" s="4">
        <v>4.0</v>
      </c>
      <c r="N4" s="4">
        <v>1.0</v>
      </c>
    </row>
    <row r="5">
      <c r="A5" s="2" t="s">
        <v>22</v>
      </c>
      <c r="B5" s="3" t="s">
        <v>16</v>
      </c>
      <c r="C5" s="3" t="s">
        <v>16</v>
      </c>
      <c r="D5" s="2" t="s">
        <v>17</v>
      </c>
      <c r="E5" s="4">
        <v>2026.0</v>
      </c>
      <c r="F5" s="4">
        <v>1.0</v>
      </c>
      <c r="G5" s="3">
        <v>46013.0</v>
      </c>
      <c r="H5" s="5">
        <v>4754.0</v>
      </c>
      <c r="I5" s="5">
        <v>3080.0</v>
      </c>
      <c r="J5" s="5">
        <v>1.464232E7</v>
      </c>
      <c r="K5" s="2" t="s">
        <v>18</v>
      </c>
      <c r="L5" s="2" t="s">
        <v>19</v>
      </c>
      <c r="M5" s="4">
        <v>5.0</v>
      </c>
      <c r="N5" s="4">
        <v>1.0</v>
      </c>
    </row>
    <row r="6">
      <c r="A6" s="2" t="s">
        <v>23</v>
      </c>
      <c r="B6" s="3" t="s">
        <v>16</v>
      </c>
      <c r="C6" s="3" t="s">
        <v>16</v>
      </c>
      <c r="D6" s="2" t="s">
        <v>17</v>
      </c>
      <c r="E6" s="4">
        <v>2026.0</v>
      </c>
      <c r="F6" s="4">
        <v>1.0</v>
      </c>
      <c r="G6" s="3">
        <v>46013.0</v>
      </c>
      <c r="H6" s="5">
        <v>3822.0</v>
      </c>
      <c r="I6" s="5">
        <v>3060.0</v>
      </c>
      <c r="J6" s="5">
        <v>1.169532E7</v>
      </c>
      <c r="K6" s="2" t="s">
        <v>18</v>
      </c>
      <c r="L6" s="2" t="s">
        <v>19</v>
      </c>
      <c r="M6" s="4">
        <v>6.0</v>
      </c>
      <c r="N6" s="4">
        <v>1.0</v>
      </c>
    </row>
    <row r="7">
      <c r="A7" s="2" t="s">
        <v>24</v>
      </c>
      <c r="B7" s="3" t="s">
        <v>25</v>
      </c>
      <c r="C7" s="3" t="s">
        <v>25</v>
      </c>
      <c r="D7" s="2" t="s">
        <v>17</v>
      </c>
      <c r="E7" s="4">
        <v>2026.0</v>
      </c>
      <c r="F7" s="4">
        <v>1.0</v>
      </c>
      <c r="G7" s="3">
        <v>46026.0</v>
      </c>
      <c r="H7" s="5">
        <v>5278.0</v>
      </c>
      <c r="I7" s="5">
        <v>3080.0</v>
      </c>
      <c r="J7" s="5">
        <v>1.625624E7</v>
      </c>
      <c r="K7" s="2" t="s">
        <v>26</v>
      </c>
      <c r="L7" s="2" t="s">
        <v>19</v>
      </c>
      <c r="M7" s="4">
        <v>20.0</v>
      </c>
      <c r="N7" s="4">
        <v>2.0</v>
      </c>
    </row>
    <row r="8">
      <c r="A8" s="2" t="s">
        <v>27</v>
      </c>
      <c r="B8" s="3" t="s">
        <v>25</v>
      </c>
      <c r="C8" s="3" t="s">
        <v>25</v>
      </c>
      <c r="D8" s="2" t="s">
        <v>17</v>
      </c>
      <c r="E8" s="4">
        <v>2026.0</v>
      </c>
      <c r="F8" s="4">
        <v>1.0</v>
      </c>
      <c r="G8" s="3">
        <v>46026.0</v>
      </c>
      <c r="H8" s="5">
        <v>5392.0</v>
      </c>
      <c r="I8" s="5">
        <v>3080.0</v>
      </c>
      <c r="J8" s="5">
        <v>1.660736E7</v>
      </c>
      <c r="K8" s="2" t="s">
        <v>26</v>
      </c>
      <c r="L8" s="2" t="s">
        <v>19</v>
      </c>
      <c r="M8" s="4">
        <v>21.0</v>
      </c>
      <c r="N8" s="4">
        <v>2.0</v>
      </c>
    </row>
    <row r="9">
      <c r="A9" s="2" t="s">
        <v>28</v>
      </c>
      <c r="B9" s="3" t="s">
        <v>25</v>
      </c>
      <c r="C9" s="3" t="s">
        <v>25</v>
      </c>
      <c r="D9" s="2" t="s">
        <v>17</v>
      </c>
      <c r="E9" s="4">
        <v>2026.0</v>
      </c>
      <c r="F9" s="4">
        <v>1.0</v>
      </c>
      <c r="G9" s="3">
        <v>46026.0</v>
      </c>
      <c r="H9" s="5">
        <v>4511.0</v>
      </c>
      <c r="I9" s="5">
        <v>3050.0</v>
      </c>
      <c r="J9" s="5">
        <v>1.375855E7</v>
      </c>
      <c r="K9" s="2" t="s">
        <v>26</v>
      </c>
      <c r="L9" s="2" t="s">
        <v>19</v>
      </c>
      <c r="M9" s="4">
        <v>22.0</v>
      </c>
      <c r="N9" s="4">
        <v>2.0</v>
      </c>
    </row>
    <row r="10">
      <c r="A10" s="2" t="s">
        <v>29</v>
      </c>
      <c r="B10" s="3" t="s">
        <v>25</v>
      </c>
      <c r="C10" s="3" t="s">
        <v>25</v>
      </c>
      <c r="D10" s="2" t="s">
        <v>17</v>
      </c>
      <c r="E10" s="4">
        <v>2026.0</v>
      </c>
      <c r="F10" s="4">
        <v>1.0</v>
      </c>
      <c r="G10" s="3">
        <v>46026.0</v>
      </c>
      <c r="H10" s="5">
        <v>3026.0</v>
      </c>
      <c r="I10" s="5">
        <v>3050.0</v>
      </c>
      <c r="J10" s="5">
        <v>9229300.0</v>
      </c>
      <c r="K10" s="2" t="s">
        <v>26</v>
      </c>
      <c r="L10" s="2" t="s">
        <v>19</v>
      </c>
      <c r="M10" s="4">
        <v>23.0</v>
      </c>
      <c r="N10" s="4">
        <v>2.0</v>
      </c>
    </row>
    <row r="11">
      <c r="A11" s="2" t="s">
        <v>30</v>
      </c>
      <c r="B11" s="3" t="s">
        <v>31</v>
      </c>
      <c r="C11" s="3" t="s">
        <v>32</v>
      </c>
      <c r="D11" s="2" t="s">
        <v>17</v>
      </c>
      <c r="E11" s="4">
        <v>2026.0</v>
      </c>
      <c r="F11" s="4">
        <v>1.0</v>
      </c>
      <c r="G11" s="3">
        <v>46041.0</v>
      </c>
      <c r="H11" s="5">
        <v>3464.0</v>
      </c>
      <c r="I11" s="5">
        <v>3070.0</v>
      </c>
      <c r="J11" s="5">
        <v>1.063448E7</v>
      </c>
      <c r="K11" s="2" t="s">
        <v>33</v>
      </c>
      <c r="L11" s="2" t="s">
        <v>19</v>
      </c>
      <c r="M11" s="4">
        <v>38.0</v>
      </c>
      <c r="N11" s="4">
        <v>3.0</v>
      </c>
    </row>
    <row r="12">
      <c r="A12" s="2" t="s">
        <v>34</v>
      </c>
      <c r="B12" s="3" t="s">
        <v>32</v>
      </c>
      <c r="C12" s="3" t="s">
        <v>32</v>
      </c>
      <c r="D12" s="2" t="s">
        <v>17</v>
      </c>
      <c r="E12" s="4">
        <v>2026.0</v>
      </c>
      <c r="F12" s="4">
        <v>1.0</v>
      </c>
      <c r="G12" s="3">
        <v>46041.0</v>
      </c>
      <c r="H12" s="5">
        <v>2172.0</v>
      </c>
      <c r="I12" s="5">
        <v>3090.0</v>
      </c>
      <c r="J12" s="5">
        <v>6711480.0</v>
      </c>
      <c r="K12" s="2" t="s">
        <v>33</v>
      </c>
      <c r="L12" s="2" t="s">
        <v>19</v>
      </c>
      <c r="M12" s="4">
        <v>39.0</v>
      </c>
      <c r="N12" s="4">
        <v>3.0</v>
      </c>
    </row>
    <row r="13">
      <c r="A13" s="2" t="s">
        <v>35</v>
      </c>
      <c r="B13" s="3" t="s">
        <v>32</v>
      </c>
      <c r="C13" s="3" t="s">
        <v>32</v>
      </c>
      <c r="D13" s="2" t="s">
        <v>17</v>
      </c>
      <c r="E13" s="4">
        <v>2026.0</v>
      </c>
      <c r="F13" s="4">
        <v>1.0</v>
      </c>
      <c r="G13" s="3">
        <v>46041.0</v>
      </c>
      <c r="H13" s="5">
        <v>5287.0</v>
      </c>
      <c r="I13" s="5">
        <v>3090.0</v>
      </c>
      <c r="J13" s="5">
        <v>1.633683E7</v>
      </c>
      <c r="K13" s="2" t="s">
        <v>33</v>
      </c>
      <c r="L13" s="2" t="s">
        <v>19</v>
      </c>
      <c r="M13" s="4">
        <v>40.0</v>
      </c>
      <c r="N13" s="4">
        <v>3.0</v>
      </c>
    </row>
    <row r="14">
      <c r="A14" s="2" t="s">
        <v>36</v>
      </c>
      <c r="B14" s="3" t="s">
        <v>32</v>
      </c>
      <c r="C14" s="3" t="s">
        <v>32</v>
      </c>
      <c r="D14" s="2" t="s">
        <v>17</v>
      </c>
      <c r="E14" s="4">
        <v>2026.0</v>
      </c>
      <c r="F14" s="4">
        <v>1.0</v>
      </c>
      <c r="G14" s="3">
        <v>46041.0</v>
      </c>
      <c r="H14" s="5">
        <v>6043.0</v>
      </c>
      <c r="I14" s="5">
        <v>3070.0</v>
      </c>
      <c r="J14" s="5">
        <v>1.855201E7</v>
      </c>
      <c r="K14" s="2" t="s">
        <v>33</v>
      </c>
      <c r="L14" s="2" t="s">
        <v>19</v>
      </c>
      <c r="M14" s="4">
        <v>41.0</v>
      </c>
      <c r="N14" s="4">
        <v>3.0</v>
      </c>
    </row>
    <row r="15">
      <c r="A15" s="2" t="s">
        <v>37</v>
      </c>
      <c r="B15" s="3" t="s">
        <v>32</v>
      </c>
      <c r="C15" s="3" t="s">
        <v>32</v>
      </c>
      <c r="D15" s="2" t="s">
        <v>17</v>
      </c>
      <c r="E15" s="4">
        <v>2026.0</v>
      </c>
      <c r="F15" s="4">
        <v>1.0</v>
      </c>
      <c r="G15" s="3">
        <v>46041.0</v>
      </c>
      <c r="H15" s="5">
        <v>3841.0</v>
      </c>
      <c r="I15" s="5">
        <v>3090.0</v>
      </c>
      <c r="J15" s="5">
        <v>1.186869E7</v>
      </c>
      <c r="K15" s="2" t="s">
        <v>33</v>
      </c>
      <c r="L15" s="2" t="s">
        <v>19</v>
      </c>
      <c r="M15" s="4">
        <v>42.0</v>
      </c>
      <c r="N15" s="4">
        <v>3.0</v>
      </c>
    </row>
    <row r="16">
      <c r="A16" s="2" t="s">
        <v>38</v>
      </c>
      <c r="B16" s="3" t="s">
        <v>39</v>
      </c>
      <c r="C16" s="3" t="s">
        <v>39</v>
      </c>
      <c r="D16" s="2" t="s">
        <v>17</v>
      </c>
      <c r="E16" s="4">
        <v>2026.0</v>
      </c>
      <c r="F16" s="4">
        <v>2.0</v>
      </c>
      <c r="G16" s="3">
        <v>46055.0</v>
      </c>
      <c r="H16" s="5">
        <v>5655.0</v>
      </c>
      <c r="I16" s="5">
        <v>3340.0</v>
      </c>
      <c r="J16" s="5">
        <v>1.88877E7</v>
      </c>
      <c r="K16" s="2" t="s">
        <v>40</v>
      </c>
      <c r="L16" s="2" t="s">
        <v>19</v>
      </c>
      <c r="M16" s="4">
        <v>56.0</v>
      </c>
      <c r="N16" s="4">
        <v>1.0</v>
      </c>
    </row>
    <row r="17">
      <c r="A17" s="2" t="s">
        <v>41</v>
      </c>
      <c r="B17" s="3" t="s">
        <v>42</v>
      </c>
      <c r="C17" s="3" t="s">
        <v>42</v>
      </c>
      <c r="D17" s="2" t="s">
        <v>17</v>
      </c>
      <c r="E17" s="4">
        <v>2026.0</v>
      </c>
      <c r="F17" s="4">
        <v>2.0</v>
      </c>
      <c r="G17" s="3">
        <v>46055.0</v>
      </c>
      <c r="H17" s="5">
        <v>5820.0</v>
      </c>
      <c r="I17" s="5">
        <v>3370.0</v>
      </c>
      <c r="J17" s="5">
        <v>1.96134E7</v>
      </c>
      <c r="K17" s="2" t="s">
        <v>40</v>
      </c>
      <c r="L17" s="2" t="s">
        <v>19</v>
      </c>
      <c r="M17" s="4">
        <v>57.0</v>
      </c>
      <c r="N17" s="4">
        <v>1.0</v>
      </c>
    </row>
    <row r="18">
      <c r="A18" s="2" t="s">
        <v>43</v>
      </c>
      <c r="B18" s="3" t="s">
        <v>42</v>
      </c>
      <c r="C18" s="3" t="s">
        <v>42</v>
      </c>
      <c r="D18" s="2" t="s">
        <v>17</v>
      </c>
      <c r="E18" s="4">
        <v>2026.0</v>
      </c>
      <c r="F18" s="4">
        <v>2.0</v>
      </c>
      <c r="G18" s="3">
        <v>46055.0</v>
      </c>
      <c r="H18" s="5">
        <v>4879.0</v>
      </c>
      <c r="I18" s="5">
        <v>3410.0</v>
      </c>
      <c r="J18" s="5">
        <v>1.663739E7</v>
      </c>
      <c r="K18" s="2" t="s">
        <v>40</v>
      </c>
      <c r="L18" s="2" t="s">
        <v>19</v>
      </c>
      <c r="M18" s="4">
        <v>58.0</v>
      </c>
      <c r="N18" s="4">
        <v>1.0</v>
      </c>
    </row>
    <row r="19">
      <c r="A19" s="2" t="s">
        <v>44</v>
      </c>
      <c r="B19" s="3" t="s">
        <v>42</v>
      </c>
      <c r="C19" s="3" t="s">
        <v>42</v>
      </c>
      <c r="D19" s="2" t="s">
        <v>17</v>
      </c>
      <c r="E19" s="4">
        <v>2026.0</v>
      </c>
      <c r="F19" s="4">
        <v>2.0</v>
      </c>
      <c r="G19" s="3">
        <v>46055.0</v>
      </c>
      <c r="H19" s="5">
        <v>4180.0</v>
      </c>
      <c r="I19" s="5">
        <v>3430.0</v>
      </c>
      <c r="J19" s="5">
        <v>1.43374E7</v>
      </c>
      <c r="K19" s="2" t="s">
        <v>40</v>
      </c>
      <c r="L19" s="2" t="s">
        <v>19</v>
      </c>
      <c r="M19" s="4">
        <v>59.0</v>
      </c>
      <c r="N19" s="4">
        <v>1.0</v>
      </c>
    </row>
    <row r="20">
      <c r="A20" s="2" t="s">
        <v>45</v>
      </c>
      <c r="B20" s="3" t="s">
        <v>46</v>
      </c>
      <c r="C20" s="3" t="s">
        <v>46</v>
      </c>
      <c r="D20" s="2" t="s">
        <v>17</v>
      </c>
      <c r="E20" s="4">
        <v>2026.0</v>
      </c>
      <c r="F20" s="4">
        <v>2.0</v>
      </c>
      <c r="G20" s="3">
        <v>46068.0</v>
      </c>
      <c r="H20" s="5">
        <v>4449.0</v>
      </c>
      <c r="I20" s="5">
        <v>3300.0</v>
      </c>
      <c r="J20" s="5">
        <v>1.46817E7</v>
      </c>
      <c r="K20" s="2" t="s">
        <v>47</v>
      </c>
      <c r="L20" s="2" t="s">
        <v>19</v>
      </c>
      <c r="M20" s="4">
        <v>74.0</v>
      </c>
      <c r="N20" s="4">
        <v>2.0</v>
      </c>
    </row>
    <row r="21">
      <c r="A21" s="2" t="s">
        <v>48</v>
      </c>
      <c r="B21" s="3" t="s">
        <v>46</v>
      </c>
      <c r="C21" s="3" t="s">
        <v>46</v>
      </c>
      <c r="D21" s="2" t="s">
        <v>17</v>
      </c>
      <c r="E21" s="4">
        <v>2026.0</v>
      </c>
      <c r="F21" s="4">
        <v>2.0</v>
      </c>
      <c r="G21" s="3">
        <v>46068.0</v>
      </c>
      <c r="H21" s="5">
        <v>4836.0</v>
      </c>
      <c r="I21" s="5">
        <v>3300.0</v>
      </c>
      <c r="J21" s="5">
        <v>1.59588E7</v>
      </c>
      <c r="K21" s="2" t="s">
        <v>47</v>
      </c>
      <c r="L21" s="2" t="s">
        <v>19</v>
      </c>
      <c r="M21" s="4">
        <v>75.0</v>
      </c>
      <c r="N21" s="4">
        <v>2.0</v>
      </c>
    </row>
    <row r="22">
      <c r="A22" s="2" t="s">
        <v>49</v>
      </c>
      <c r="B22" s="3" t="s">
        <v>46</v>
      </c>
      <c r="C22" s="3" t="s">
        <v>46</v>
      </c>
      <c r="D22" s="2" t="s">
        <v>17</v>
      </c>
      <c r="E22" s="4">
        <v>2026.0</v>
      </c>
      <c r="F22" s="4">
        <v>2.0</v>
      </c>
      <c r="G22" s="3">
        <v>46068.0</v>
      </c>
      <c r="H22" s="5">
        <v>3590.0</v>
      </c>
      <c r="I22" s="5">
        <v>3300.0</v>
      </c>
      <c r="J22" s="5">
        <v>1.1847E7</v>
      </c>
      <c r="K22" s="2" t="s">
        <v>50</v>
      </c>
      <c r="L22" s="2" t="s">
        <v>19</v>
      </c>
      <c r="M22" s="4">
        <v>76.0</v>
      </c>
      <c r="N22" s="4">
        <v>2.0</v>
      </c>
    </row>
    <row r="23">
      <c r="A23" s="2" t="s">
        <v>51</v>
      </c>
      <c r="B23" s="3" t="s">
        <v>52</v>
      </c>
      <c r="C23" s="3" t="s">
        <v>52</v>
      </c>
      <c r="D23" s="2" t="s">
        <v>17</v>
      </c>
      <c r="E23" s="4">
        <v>2026.0</v>
      </c>
      <c r="F23" s="4">
        <v>2.0</v>
      </c>
      <c r="G23" s="3">
        <v>46068.0</v>
      </c>
      <c r="H23" s="5">
        <v>3802.0</v>
      </c>
      <c r="I23" s="5">
        <v>3300.0</v>
      </c>
      <c r="J23" s="5">
        <v>1.25466E7</v>
      </c>
      <c r="K23" s="2" t="s">
        <v>47</v>
      </c>
      <c r="L23" s="2" t="s">
        <v>19</v>
      </c>
      <c r="M23" s="4">
        <v>77.0</v>
      </c>
      <c r="N23" s="4">
        <v>2.0</v>
      </c>
    </row>
    <row r="24">
      <c r="A24" s="2" t="s">
        <v>53</v>
      </c>
      <c r="B24" s="3" t="s">
        <v>54</v>
      </c>
      <c r="C24" s="3" t="s">
        <v>54</v>
      </c>
      <c r="D24" s="2" t="s">
        <v>17</v>
      </c>
      <c r="E24" s="4">
        <v>2026.0</v>
      </c>
      <c r="F24" s="4">
        <v>3.0</v>
      </c>
      <c r="G24" s="3">
        <v>46094.0</v>
      </c>
      <c r="H24" s="5">
        <v>3899.0</v>
      </c>
      <c r="I24" s="5">
        <v>3210.0</v>
      </c>
      <c r="J24" s="5">
        <v>1.251579E7</v>
      </c>
      <c r="K24" s="2" t="s">
        <v>55</v>
      </c>
      <c r="L24" s="2" t="s">
        <v>19</v>
      </c>
      <c r="M24" s="4">
        <v>92.0</v>
      </c>
      <c r="N24" s="4">
        <v>1.0</v>
      </c>
    </row>
    <row r="25">
      <c r="A25" s="2" t="s">
        <v>56</v>
      </c>
      <c r="B25" s="3" t="s">
        <v>54</v>
      </c>
      <c r="C25" s="3" t="s">
        <v>54</v>
      </c>
      <c r="D25" s="2" t="s">
        <v>17</v>
      </c>
      <c r="E25" s="4">
        <v>2026.0</v>
      </c>
      <c r="F25" s="4">
        <v>3.0</v>
      </c>
      <c r="G25" s="3">
        <v>46094.0</v>
      </c>
      <c r="H25" s="5">
        <v>5810.0</v>
      </c>
      <c r="I25" s="5">
        <v>3210.0</v>
      </c>
      <c r="J25" s="5">
        <v>1.86501E7</v>
      </c>
      <c r="K25" s="2" t="s">
        <v>55</v>
      </c>
      <c r="L25" s="2" t="s">
        <v>19</v>
      </c>
      <c r="M25" s="4">
        <v>93.0</v>
      </c>
      <c r="N25" s="4">
        <v>1.0</v>
      </c>
    </row>
    <row r="26">
      <c r="A26" s="2" t="s">
        <v>57</v>
      </c>
      <c r="B26" s="3" t="s">
        <v>54</v>
      </c>
      <c r="C26" s="3" t="s">
        <v>54</v>
      </c>
      <c r="D26" s="2" t="s">
        <v>17</v>
      </c>
      <c r="E26" s="4">
        <v>2026.0</v>
      </c>
      <c r="F26" s="4">
        <v>3.0</v>
      </c>
      <c r="G26" s="3">
        <v>46094.0</v>
      </c>
      <c r="H26" s="5">
        <v>4982.0</v>
      </c>
      <c r="I26" s="5">
        <v>3240.0</v>
      </c>
      <c r="J26" s="5">
        <v>1.614168E7</v>
      </c>
      <c r="K26" s="2" t="s">
        <v>55</v>
      </c>
      <c r="L26" s="2" t="s">
        <v>19</v>
      </c>
      <c r="M26" s="4">
        <v>94.0</v>
      </c>
      <c r="N26" s="4">
        <v>1.0</v>
      </c>
    </row>
    <row r="27">
      <c r="A27" s="2" t="s">
        <v>58</v>
      </c>
      <c r="B27" s="3" t="s">
        <v>59</v>
      </c>
      <c r="C27" s="3" t="s">
        <v>59</v>
      </c>
      <c r="D27" s="2" t="s">
        <v>17</v>
      </c>
      <c r="E27" s="4">
        <v>2026.0</v>
      </c>
      <c r="F27" s="4">
        <v>3.0</v>
      </c>
      <c r="G27" s="3">
        <v>46094.0</v>
      </c>
      <c r="H27" s="5">
        <v>6668.0</v>
      </c>
      <c r="I27" s="5">
        <v>3550.0</v>
      </c>
      <c r="J27" s="5">
        <v>2.36714E7</v>
      </c>
      <c r="K27" s="2" t="s">
        <v>55</v>
      </c>
      <c r="L27" s="2" t="s">
        <v>19</v>
      </c>
      <c r="M27" s="4">
        <v>95.0</v>
      </c>
      <c r="N27" s="4">
        <v>1.0</v>
      </c>
    </row>
    <row r="28">
      <c r="A28" s="2" t="s">
        <v>60</v>
      </c>
      <c r="B28" s="3" t="s">
        <v>59</v>
      </c>
      <c r="C28" s="3" t="s">
        <v>59</v>
      </c>
      <c r="D28" s="2" t="s">
        <v>17</v>
      </c>
      <c r="E28" s="4">
        <v>2026.0</v>
      </c>
      <c r="F28" s="4">
        <v>3.0</v>
      </c>
      <c r="G28" s="3">
        <v>46094.0</v>
      </c>
      <c r="H28" s="5">
        <v>3539.0</v>
      </c>
      <c r="I28" s="5">
        <v>3550.0</v>
      </c>
      <c r="J28" s="5">
        <v>1.256345E7</v>
      </c>
      <c r="K28" s="2" t="s">
        <v>55</v>
      </c>
      <c r="L28" s="2" t="s">
        <v>19</v>
      </c>
      <c r="M28" s="4">
        <v>96.0</v>
      </c>
      <c r="N28" s="4">
        <v>1.0</v>
      </c>
    </row>
    <row r="29">
      <c r="A29" s="2" t="s">
        <v>61</v>
      </c>
      <c r="B29" s="3" t="s">
        <v>59</v>
      </c>
      <c r="C29" s="3" t="s">
        <v>59</v>
      </c>
      <c r="D29" s="2" t="s">
        <v>17</v>
      </c>
      <c r="E29" s="4">
        <v>2026.0</v>
      </c>
      <c r="F29" s="4">
        <v>3.0</v>
      </c>
      <c r="G29" s="3">
        <v>46094.0</v>
      </c>
      <c r="H29" s="5">
        <v>5306.0</v>
      </c>
      <c r="I29" s="5">
        <v>3550.0</v>
      </c>
      <c r="J29" s="5">
        <v>1.88363E7</v>
      </c>
      <c r="K29" s="2" t="s">
        <v>55</v>
      </c>
      <c r="L29" s="2" t="s">
        <v>19</v>
      </c>
      <c r="M29" s="4">
        <v>97.0</v>
      </c>
      <c r="N29" s="4">
        <v>1.0</v>
      </c>
    </row>
    <row r="30">
      <c r="A30" s="2" t="s">
        <v>62</v>
      </c>
      <c r="B30" s="3" t="s">
        <v>63</v>
      </c>
      <c r="C30" s="3" t="s">
        <v>63</v>
      </c>
      <c r="D30" s="2" t="s">
        <v>17</v>
      </c>
      <c r="E30" s="4">
        <v>2026.0</v>
      </c>
      <c r="F30" s="4">
        <v>3.0</v>
      </c>
      <c r="G30" s="3">
        <v>46108.0</v>
      </c>
      <c r="H30" s="5">
        <v>4093.0</v>
      </c>
      <c r="I30" s="5">
        <v>3570.0</v>
      </c>
      <c r="J30" s="5">
        <v>1.461201E7</v>
      </c>
      <c r="K30" s="2" t="s">
        <v>64</v>
      </c>
      <c r="L30" s="2" t="s">
        <v>19</v>
      </c>
      <c r="M30" s="4">
        <v>110.0</v>
      </c>
      <c r="N30" s="4">
        <v>2.0</v>
      </c>
    </row>
    <row r="31">
      <c r="A31" s="2" t="s">
        <v>65</v>
      </c>
      <c r="B31" s="3" t="s">
        <v>63</v>
      </c>
      <c r="C31" s="3" t="s">
        <v>63</v>
      </c>
      <c r="D31" s="2" t="s">
        <v>17</v>
      </c>
      <c r="E31" s="4">
        <v>2026.0</v>
      </c>
      <c r="F31" s="4">
        <v>3.0</v>
      </c>
      <c r="G31" s="3">
        <v>46108.0</v>
      </c>
      <c r="H31" s="5">
        <v>7983.0</v>
      </c>
      <c r="I31" s="5">
        <v>3540.0</v>
      </c>
      <c r="J31" s="5">
        <v>2.825982E7</v>
      </c>
      <c r="K31" s="2" t="s">
        <v>64</v>
      </c>
      <c r="L31" s="2" t="s">
        <v>19</v>
      </c>
      <c r="M31" s="4">
        <v>111.0</v>
      </c>
      <c r="N31" s="4">
        <v>2.0</v>
      </c>
    </row>
    <row r="32">
      <c r="A32" s="2" t="s">
        <v>66</v>
      </c>
      <c r="B32" s="3" t="s">
        <v>63</v>
      </c>
      <c r="C32" s="3" t="s">
        <v>63</v>
      </c>
      <c r="D32" s="2" t="s">
        <v>17</v>
      </c>
      <c r="E32" s="4">
        <v>2026.0</v>
      </c>
      <c r="F32" s="4">
        <v>3.0</v>
      </c>
      <c r="G32" s="3">
        <v>46108.0</v>
      </c>
      <c r="H32" s="5">
        <v>5752.0</v>
      </c>
      <c r="I32" s="5">
        <v>3540.0</v>
      </c>
      <c r="J32" s="5">
        <v>2.036208E7</v>
      </c>
      <c r="K32" s="2" t="s">
        <v>64</v>
      </c>
      <c r="L32" s="2" t="s">
        <v>19</v>
      </c>
      <c r="M32" s="4">
        <v>112.0</v>
      </c>
      <c r="N32" s="4">
        <v>2.0</v>
      </c>
    </row>
    <row r="33">
      <c r="A33" s="2" t="s">
        <v>67</v>
      </c>
      <c r="B33" s="3" t="s">
        <v>63</v>
      </c>
      <c r="C33" s="3" t="s">
        <v>63</v>
      </c>
      <c r="D33" s="2" t="s">
        <v>17</v>
      </c>
      <c r="E33" s="4">
        <v>2026.0</v>
      </c>
      <c r="F33" s="4">
        <v>3.0</v>
      </c>
      <c r="G33" s="3">
        <v>46108.0</v>
      </c>
      <c r="H33" s="5">
        <v>4278.0</v>
      </c>
      <c r="I33" s="5">
        <v>3570.0</v>
      </c>
      <c r="J33" s="5">
        <v>1.527246E7</v>
      </c>
      <c r="K33" s="2" t="s">
        <v>64</v>
      </c>
      <c r="L33" s="2" t="s">
        <v>19</v>
      </c>
      <c r="M33" s="4">
        <v>113.0</v>
      </c>
      <c r="N33" s="4">
        <v>2.0</v>
      </c>
    </row>
    <row r="34">
      <c r="A34" s="2" t="s">
        <v>68</v>
      </c>
      <c r="B34" s="3" t="s">
        <v>69</v>
      </c>
      <c r="C34" s="3" t="s">
        <v>69</v>
      </c>
      <c r="D34" s="2" t="s">
        <v>17</v>
      </c>
      <c r="E34" s="4">
        <v>2026.0</v>
      </c>
      <c r="F34" s="4">
        <v>4.0</v>
      </c>
      <c r="G34" s="3">
        <v>46123.0</v>
      </c>
      <c r="H34" s="5">
        <v>3348.0</v>
      </c>
      <c r="I34" s="5">
        <v>3690.0</v>
      </c>
      <c r="J34" s="5">
        <v>1.235412E7</v>
      </c>
      <c r="K34" s="2" t="s">
        <v>70</v>
      </c>
      <c r="L34" s="2" t="s">
        <v>19</v>
      </c>
      <c r="M34" s="4">
        <v>128.0</v>
      </c>
      <c r="N34" s="4">
        <v>1.0</v>
      </c>
    </row>
    <row r="35">
      <c r="A35" s="2" t="s">
        <v>71</v>
      </c>
      <c r="B35" s="3" t="s">
        <v>69</v>
      </c>
      <c r="C35" s="3" t="s">
        <v>69</v>
      </c>
      <c r="D35" s="2" t="s">
        <v>17</v>
      </c>
      <c r="E35" s="4">
        <v>2026.0</v>
      </c>
      <c r="F35" s="4">
        <v>4.0</v>
      </c>
      <c r="G35" s="3">
        <v>46123.0</v>
      </c>
      <c r="H35" s="5">
        <v>4462.0</v>
      </c>
      <c r="I35" s="5">
        <v>3690.0</v>
      </c>
      <c r="J35" s="5">
        <v>1.646478E7</v>
      </c>
      <c r="K35" s="2" t="s">
        <v>70</v>
      </c>
      <c r="L35" s="2" t="s">
        <v>19</v>
      </c>
      <c r="M35" s="4">
        <v>129.0</v>
      </c>
      <c r="N35" s="4">
        <v>1.0</v>
      </c>
    </row>
    <row r="36">
      <c r="A36" s="2" t="s">
        <v>72</v>
      </c>
      <c r="B36" s="3" t="s">
        <v>69</v>
      </c>
      <c r="C36" s="3" t="s">
        <v>69</v>
      </c>
      <c r="D36" s="2" t="s">
        <v>17</v>
      </c>
      <c r="E36" s="4">
        <v>2026.0</v>
      </c>
      <c r="F36" s="4">
        <v>4.0</v>
      </c>
      <c r="G36" s="3">
        <v>46123.0</v>
      </c>
      <c r="H36" s="5">
        <v>5297.0</v>
      </c>
      <c r="I36" s="5">
        <v>3650.0</v>
      </c>
      <c r="J36" s="5">
        <v>1.933405E7</v>
      </c>
      <c r="K36" s="2" t="s">
        <v>70</v>
      </c>
      <c r="L36" s="2" t="s">
        <v>19</v>
      </c>
      <c r="M36" s="4">
        <v>130.0</v>
      </c>
      <c r="N36" s="4">
        <v>1.0</v>
      </c>
    </row>
    <row r="37">
      <c r="A37" s="2" t="s">
        <v>73</v>
      </c>
      <c r="B37" s="3" t="s">
        <v>69</v>
      </c>
      <c r="C37" s="3" t="s">
        <v>69</v>
      </c>
      <c r="D37" s="2" t="s">
        <v>17</v>
      </c>
      <c r="E37" s="4">
        <v>2026.0</v>
      </c>
      <c r="F37" s="4">
        <v>4.0</v>
      </c>
      <c r="G37" s="3">
        <v>46123.0</v>
      </c>
      <c r="H37" s="5">
        <v>3812.0</v>
      </c>
      <c r="I37" s="5">
        <v>3650.0</v>
      </c>
      <c r="J37" s="5">
        <v>1.39138E7</v>
      </c>
      <c r="K37" s="2" t="s">
        <v>70</v>
      </c>
      <c r="L37" s="2" t="s">
        <v>19</v>
      </c>
      <c r="M37" s="4">
        <v>131.0</v>
      </c>
      <c r="N37" s="4">
        <v>1.0</v>
      </c>
    </row>
    <row r="38">
      <c r="A38" s="2" t="s">
        <v>74</v>
      </c>
      <c r="B38" s="3" t="s">
        <v>69</v>
      </c>
      <c r="C38" s="3" t="s">
        <v>69</v>
      </c>
      <c r="D38" s="2" t="s">
        <v>17</v>
      </c>
      <c r="E38" s="4">
        <v>2026.0</v>
      </c>
      <c r="F38" s="4">
        <v>4.0</v>
      </c>
      <c r="G38" s="3">
        <v>46123.0</v>
      </c>
      <c r="H38" s="5">
        <v>6664.0</v>
      </c>
      <c r="I38" s="5">
        <v>3650.0</v>
      </c>
      <c r="J38" s="5">
        <v>2.43236E7</v>
      </c>
      <c r="K38" s="2" t="s">
        <v>70</v>
      </c>
      <c r="L38" s="2" t="s">
        <v>19</v>
      </c>
      <c r="M38" s="4">
        <v>132.0</v>
      </c>
      <c r="N38" s="4">
        <v>1.0</v>
      </c>
    </row>
    <row r="39">
      <c r="A39" s="2" t="s">
        <v>75</v>
      </c>
      <c r="B39" s="3" t="s">
        <v>76</v>
      </c>
      <c r="C39" s="3" t="s">
        <v>76</v>
      </c>
      <c r="D39" s="2" t="s">
        <v>17</v>
      </c>
      <c r="E39" s="4">
        <v>2026.0</v>
      </c>
      <c r="F39" s="4">
        <v>4.0</v>
      </c>
      <c r="G39" s="3">
        <v>46138.0</v>
      </c>
      <c r="H39" s="5">
        <v>3194.0</v>
      </c>
      <c r="I39" s="5">
        <v>3570.0</v>
      </c>
      <c r="J39" s="5">
        <v>1.140258E7</v>
      </c>
      <c r="K39" s="2" t="s">
        <v>77</v>
      </c>
      <c r="L39" s="2" t="s">
        <v>19</v>
      </c>
      <c r="M39" s="4">
        <v>146.0</v>
      </c>
      <c r="N39" s="4">
        <v>2.0</v>
      </c>
    </row>
    <row r="40">
      <c r="A40" s="2" t="s">
        <v>78</v>
      </c>
      <c r="B40" s="3" t="s">
        <v>76</v>
      </c>
      <c r="C40" s="3" t="s">
        <v>76</v>
      </c>
      <c r="D40" s="2" t="s">
        <v>17</v>
      </c>
      <c r="E40" s="4">
        <v>2026.0</v>
      </c>
      <c r="F40" s="4">
        <v>4.0</v>
      </c>
      <c r="G40" s="3">
        <v>46138.0</v>
      </c>
      <c r="H40" s="5">
        <v>4652.0</v>
      </c>
      <c r="I40" s="5">
        <v>3570.0</v>
      </c>
      <c r="J40" s="5">
        <v>1.660764E7</v>
      </c>
      <c r="K40" s="2" t="s">
        <v>77</v>
      </c>
      <c r="L40" s="2" t="s">
        <v>19</v>
      </c>
      <c r="M40" s="4">
        <v>147.0</v>
      </c>
      <c r="N40" s="4">
        <v>2.0</v>
      </c>
    </row>
    <row r="41">
      <c r="A41" s="2" t="s">
        <v>79</v>
      </c>
      <c r="B41" s="3" t="s">
        <v>76</v>
      </c>
      <c r="C41" s="3" t="s">
        <v>76</v>
      </c>
      <c r="D41" s="2" t="s">
        <v>17</v>
      </c>
      <c r="E41" s="4">
        <v>2026.0</v>
      </c>
      <c r="F41" s="4">
        <v>4.0</v>
      </c>
      <c r="G41" s="3">
        <v>46138.0</v>
      </c>
      <c r="H41" s="5">
        <v>4928.0</v>
      </c>
      <c r="I41" s="5">
        <v>3570.0</v>
      </c>
      <c r="J41" s="5">
        <v>1.759296E7</v>
      </c>
      <c r="K41" s="2" t="s">
        <v>77</v>
      </c>
      <c r="L41" s="2" t="s">
        <v>19</v>
      </c>
      <c r="M41" s="4">
        <v>148.0</v>
      </c>
      <c r="N41" s="4">
        <v>2.0</v>
      </c>
    </row>
    <row r="42">
      <c r="A42" s="2" t="s">
        <v>80</v>
      </c>
      <c r="B42" s="3" t="s">
        <v>76</v>
      </c>
      <c r="C42" s="3" t="s">
        <v>76</v>
      </c>
      <c r="D42" s="2" t="s">
        <v>17</v>
      </c>
      <c r="E42" s="4">
        <v>2026.0</v>
      </c>
      <c r="F42" s="4">
        <v>4.0</v>
      </c>
      <c r="G42" s="3">
        <v>46138.0</v>
      </c>
      <c r="H42" s="5">
        <v>4288.0</v>
      </c>
      <c r="I42" s="5">
        <v>3570.0</v>
      </c>
      <c r="J42" s="5">
        <v>1.530816E7</v>
      </c>
      <c r="K42" s="2" t="s">
        <v>77</v>
      </c>
      <c r="L42" s="2" t="s">
        <v>19</v>
      </c>
      <c r="M42" s="4">
        <v>149.0</v>
      </c>
      <c r="N42" s="4">
        <v>2.0</v>
      </c>
    </row>
    <row r="43">
      <c r="A43" s="2" t="s">
        <v>81</v>
      </c>
      <c r="B43" s="3" t="s">
        <v>82</v>
      </c>
      <c r="C43" s="3" t="s">
        <v>82</v>
      </c>
      <c r="D43" s="2" t="s">
        <v>17</v>
      </c>
      <c r="E43" s="4">
        <v>2026.0</v>
      </c>
      <c r="F43" s="4">
        <v>5.0</v>
      </c>
      <c r="G43" s="3">
        <v>46151.0</v>
      </c>
      <c r="H43" s="5">
        <v>4705.0</v>
      </c>
      <c r="I43" s="5">
        <v>3580.0</v>
      </c>
      <c r="J43" s="5">
        <v>1.68439E7</v>
      </c>
      <c r="K43" s="2" t="s">
        <v>83</v>
      </c>
      <c r="L43" s="2" t="s">
        <v>19</v>
      </c>
      <c r="M43" s="4">
        <v>164.0</v>
      </c>
      <c r="N43" s="4">
        <v>1.0</v>
      </c>
    </row>
    <row r="44">
      <c r="A44" s="2" t="s">
        <v>84</v>
      </c>
      <c r="B44" s="3" t="s">
        <v>82</v>
      </c>
      <c r="C44" s="3" t="s">
        <v>82</v>
      </c>
      <c r="D44" s="2" t="s">
        <v>17</v>
      </c>
      <c r="E44" s="4">
        <v>2026.0</v>
      </c>
      <c r="F44" s="4">
        <v>5.0</v>
      </c>
      <c r="G44" s="3">
        <v>46151.0</v>
      </c>
      <c r="H44" s="5">
        <v>4681.0</v>
      </c>
      <c r="I44" s="5">
        <v>3600.0</v>
      </c>
      <c r="J44" s="5">
        <v>1.68516E7</v>
      </c>
      <c r="K44" s="2" t="s">
        <v>83</v>
      </c>
      <c r="L44" s="2" t="s">
        <v>19</v>
      </c>
      <c r="M44" s="4">
        <v>165.0</v>
      </c>
      <c r="N44" s="4">
        <v>1.0</v>
      </c>
    </row>
    <row r="45">
      <c r="A45" s="2" t="s">
        <v>85</v>
      </c>
      <c r="B45" s="3" t="s">
        <v>82</v>
      </c>
      <c r="C45" s="3" t="s">
        <v>82</v>
      </c>
      <c r="D45" s="2" t="s">
        <v>17</v>
      </c>
      <c r="E45" s="4">
        <v>2026.0</v>
      </c>
      <c r="F45" s="4">
        <v>5.0</v>
      </c>
      <c r="G45" s="3">
        <v>46151.0</v>
      </c>
      <c r="H45" s="5">
        <v>5275.0</v>
      </c>
      <c r="I45" s="5">
        <v>3600.0</v>
      </c>
      <c r="J45" s="5">
        <v>1.899E7</v>
      </c>
      <c r="K45" s="2" t="s">
        <v>83</v>
      </c>
      <c r="L45" s="2" t="s">
        <v>19</v>
      </c>
      <c r="M45" s="4">
        <v>166.0</v>
      </c>
      <c r="N45" s="4">
        <v>1.0</v>
      </c>
    </row>
    <row r="46">
      <c r="A46" s="2" t="s">
        <v>86</v>
      </c>
      <c r="B46" s="3" t="s">
        <v>82</v>
      </c>
      <c r="C46" s="3" t="s">
        <v>82</v>
      </c>
      <c r="D46" s="2" t="s">
        <v>17</v>
      </c>
      <c r="E46" s="4">
        <v>2026.0</v>
      </c>
      <c r="F46" s="4">
        <v>5.0</v>
      </c>
      <c r="G46" s="3">
        <v>46151.0</v>
      </c>
      <c r="H46" s="5">
        <v>4297.0</v>
      </c>
      <c r="I46" s="5">
        <v>3550.0</v>
      </c>
      <c r="J46" s="5">
        <v>1.525435E7</v>
      </c>
      <c r="K46" s="2" t="s">
        <v>83</v>
      </c>
      <c r="L46" s="2" t="s">
        <v>19</v>
      </c>
      <c r="M46" s="4">
        <v>167.0</v>
      </c>
      <c r="N46" s="4">
        <v>1.0</v>
      </c>
    </row>
    <row r="47">
      <c r="A47" s="2" t="s">
        <v>87</v>
      </c>
      <c r="B47" s="3" t="s">
        <v>88</v>
      </c>
      <c r="C47" s="3" t="s">
        <v>88</v>
      </c>
      <c r="D47" s="2" t="s">
        <v>17</v>
      </c>
      <c r="E47" s="4">
        <v>2026.0</v>
      </c>
      <c r="F47" s="4">
        <v>5.0</v>
      </c>
      <c r="G47" s="3">
        <v>46165.0</v>
      </c>
      <c r="H47" s="5">
        <v>5093.0</v>
      </c>
      <c r="I47" s="5">
        <v>3470.0</v>
      </c>
      <c r="J47" s="5">
        <v>1.767271E7</v>
      </c>
      <c r="K47" s="2" t="s">
        <v>89</v>
      </c>
      <c r="L47" s="2" t="s">
        <v>19</v>
      </c>
      <c r="M47" s="4">
        <v>182.0</v>
      </c>
      <c r="N47" s="4">
        <v>2.0</v>
      </c>
    </row>
    <row r="48">
      <c r="A48" s="2" t="s">
        <v>90</v>
      </c>
      <c r="B48" s="3" t="s">
        <v>88</v>
      </c>
      <c r="C48" s="3" t="s">
        <v>88</v>
      </c>
      <c r="D48" s="2" t="s">
        <v>17</v>
      </c>
      <c r="E48" s="4">
        <v>2026.0</v>
      </c>
      <c r="F48" s="4">
        <v>5.0</v>
      </c>
      <c r="G48" s="3">
        <v>46165.0</v>
      </c>
      <c r="H48" s="5">
        <v>3320.0</v>
      </c>
      <c r="I48" s="5">
        <v>3270.0</v>
      </c>
      <c r="J48" s="5">
        <v>1.08564E7</v>
      </c>
      <c r="K48" s="2" t="s">
        <v>89</v>
      </c>
      <c r="L48" s="2" t="s">
        <v>19</v>
      </c>
      <c r="M48" s="4">
        <v>183.0</v>
      </c>
      <c r="N48" s="4">
        <v>2.0</v>
      </c>
    </row>
    <row r="49">
      <c r="A49" s="2" t="s">
        <v>91</v>
      </c>
      <c r="B49" s="3" t="s">
        <v>88</v>
      </c>
      <c r="C49" s="3" t="s">
        <v>88</v>
      </c>
      <c r="D49" s="2" t="s">
        <v>17</v>
      </c>
      <c r="E49" s="4">
        <v>2026.0</v>
      </c>
      <c r="F49" s="4">
        <v>5.0</v>
      </c>
      <c r="G49" s="3">
        <v>46165.0</v>
      </c>
      <c r="H49" s="5">
        <v>5587.0</v>
      </c>
      <c r="I49" s="5">
        <v>3270.0</v>
      </c>
      <c r="J49" s="5">
        <v>1.826949E7</v>
      </c>
      <c r="K49" s="2" t="s">
        <v>89</v>
      </c>
      <c r="L49" s="2" t="s">
        <v>19</v>
      </c>
      <c r="M49" s="4">
        <v>184.0</v>
      </c>
      <c r="N49" s="4">
        <v>2.0</v>
      </c>
    </row>
    <row r="50">
      <c r="A50" s="2" t="s">
        <v>92</v>
      </c>
      <c r="B50" s="3" t="s">
        <v>88</v>
      </c>
      <c r="C50" s="3" t="s">
        <v>88</v>
      </c>
      <c r="D50" s="2" t="s">
        <v>17</v>
      </c>
      <c r="E50" s="4">
        <v>2026.0</v>
      </c>
      <c r="F50" s="4">
        <v>5.0</v>
      </c>
      <c r="G50" s="3">
        <v>46165.0</v>
      </c>
      <c r="H50" s="5">
        <v>6392.0</v>
      </c>
      <c r="I50" s="5">
        <v>2770.0</v>
      </c>
      <c r="J50" s="5">
        <v>1.770584E7</v>
      </c>
      <c r="K50" s="2" t="s">
        <v>89</v>
      </c>
      <c r="L50" s="2" t="s">
        <v>19</v>
      </c>
      <c r="M50" s="4">
        <v>185.0</v>
      </c>
      <c r="N50" s="4">
        <v>2.0</v>
      </c>
    </row>
    <row r="51">
      <c r="A51" s="2" t="s">
        <v>93</v>
      </c>
      <c r="B51" s="3" t="s">
        <v>94</v>
      </c>
      <c r="C51" s="3" t="s">
        <v>94</v>
      </c>
      <c r="D51" s="2" t="s">
        <v>17</v>
      </c>
      <c r="E51" s="4">
        <v>2026.0</v>
      </c>
      <c r="F51" s="4">
        <v>6.0</v>
      </c>
      <c r="G51" s="3">
        <v>46179.0</v>
      </c>
      <c r="H51" s="5">
        <v>3880.0</v>
      </c>
      <c r="I51" s="5">
        <v>3070.0</v>
      </c>
      <c r="J51" s="5">
        <v>1.19116E7</v>
      </c>
      <c r="K51" s="2" t="s">
        <v>95</v>
      </c>
      <c r="L51" s="2" t="s">
        <v>19</v>
      </c>
      <c r="M51" s="4">
        <v>200.0</v>
      </c>
      <c r="N51" s="4">
        <v>1.0</v>
      </c>
    </row>
    <row r="52">
      <c r="A52" s="2" t="s">
        <v>96</v>
      </c>
      <c r="B52" s="3" t="s">
        <v>97</v>
      </c>
      <c r="C52" s="3" t="s">
        <v>97</v>
      </c>
      <c r="D52" s="2" t="s">
        <v>17</v>
      </c>
      <c r="E52" s="4">
        <v>2026.0</v>
      </c>
      <c r="F52" s="4">
        <v>6.0</v>
      </c>
      <c r="G52" s="3">
        <v>46179.0</v>
      </c>
      <c r="H52" s="5">
        <v>6694.0</v>
      </c>
      <c r="I52" s="5">
        <v>3400.0</v>
      </c>
      <c r="J52" s="5">
        <v>2.27596E7</v>
      </c>
      <c r="K52" s="2" t="s">
        <v>95</v>
      </c>
      <c r="L52" s="2" t="s">
        <v>19</v>
      </c>
      <c r="M52" s="4">
        <v>201.0</v>
      </c>
      <c r="N52" s="4">
        <v>1.0</v>
      </c>
    </row>
    <row r="53">
      <c r="A53" s="2" t="s">
        <v>98</v>
      </c>
      <c r="B53" s="3" t="s">
        <v>97</v>
      </c>
      <c r="C53" s="3" t="s">
        <v>97</v>
      </c>
      <c r="D53" s="2" t="s">
        <v>17</v>
      </c>
      <c r="E53" s="4">
        <v>2026.0</v>
      </c>
      <c r="F53" s="4">
        <v>6.0</v>
      </c>
      <c r="G53" s="3">
        <v>46179.0</v>
      </c>
      <c r="H53" s="5">
        <v>5411.0</v>
      </c>
      <c r="I53" s="5">
        <v>3400.0</v>
      </c>
      <c r="J53" s="5">
        <v>1.83974E7</v>
      </c>
      <c r="K53" s="2" t="s">
        <v>95</v>
      </c>
      <c r="L53" s="2" t="s">
        <v>19</v>
      </c>
      <c r="M53" s="4">
        <v>202.0</v>
      </c>
      <c r="N53" s="4">
        <v>1.0</v>
      </c>
    </row>
    <row r="54">
      <c r="A54" s="2" t="s">
        <v>99</v>
      </c>
      <c r="B54" s="3" t="s">
        <v>97</v>
      </c>
      <c r="C54" s="3" t="s">
        <v>97</v>
      </c>
      <c r="D54" s="2" t="s">
        <v>17</v>
      </c>
      <c r="E54" s="4">
        <v>2026.0</v>
      </c>
      <c r="F54" s="4">
        <v>6.0</v>
      </c>
      <c r="G54" s="3">
        <v>46179.0</v>
      </c>
      <c r="H54" s="5">
        <v>6849.0</v>
      </c>
      <c r="I54" s="5">
        <v>3400.0</v>
      </c>
      <c r="J54" s="5">
        <v>2.32866E7</v>
      </c>
      <c r="K54" s="2" t="s">
        <v>95</v>
      </c>
      <c r="L54" s="2" t="s">
        <v>19</v>
      </c>
      <c r="M54" s="4">
        <v>203.0</v>
      </c>
      <c r="N54" s="4">
        <v>1.0</v>
      </c>
    </row>
    <row r="55">
      <c r="A55" s="2" t="s">
        <v>100</v>
      </c>
      <c r="B55" s="6">
        <v>46191.93581796296</v>
      </c>
      <c r="D55" s="2" t="s">
        <v>17</v>
      </c>
      <c r="E55" s="7">
        <v>2026.0</v>
      </c>
      <c r="F55" s="7">
        <v>6.0</v>
      </c>
      <c r="G55" s="8">
        <v>46191.0</v>
      </c>
      <c r="H55" s="7">
        <v>5732.0</v>
      </c>
      <c r="I55" s="7">
        <v>3450.0</v>
      </c>
      <c r="J55" s="7">
        <v>1.97754E7</v>
      </c>
      <c r="K55" s="2" t="s">
        <v>101</v>
      </c>
      <c r="M55" s="2" t="s">
        <v>102</v>
      </c>
      <c r="N55" s="7">
        <v>2.0</v>
      </c>
      <c r="O55" s="2" t="s">
        <v>103</v>
      </c>
    </row>
    <row r="56">
      <c r="A56" s="2" t="s">
        <v>104</v>
      </c>
      <c r="B56" s="6">
        <v>46191.93581796296</v>
      </c>
      <c r="D56" s="2" t="s">
        <v>17</v>
      </c>
      <c r="E56" s="7">
        <v>2026.0</v>
      </c>
      <c r="F56" s="7">
        <v>6.0</v>
      </c>
      <c r="G56" s="8">
        <v>46191.0</v>
      </c>
      <c r="H56" s="7">
        <v>4449.0</v>
      </c>
      <c r="I56" s="7">
        <v>3450.0</v>
      </c>
      <c r="J56" s="7">
        <v>1.534905E7</v>
      </c>
      <c r="K56" s="2" t="s">
        <v>101</v>
      </c>
      <c r="M56" s="2" t="s">
        <v>102</v>
      </c>
      <c r="N56" s="7">
        <v>2.0</v>
      </c>
      <c r="O56" s="2" t="s">
        <v>103</v>
      </c>
    </row>
    <row r="57">
      <c r="A57" s="2" t="s">
        <v>105</v>
      </c>
      <c r="B57" s="6">
        <v>46191.93581796296</v>
      </c>
      <c r="D57" s="2" t="s">
        <v>17</v>
      </c>
      <c r="E57" s="7">
        <v>2026.0</v>
      </c>
      <c r="F57" s="7">
        <v>6.0</v>
      </c>
      <c r="G57" s="8">
        <v>46191.0</v>
      </c>
      <c r="H57" s="7">
        <v>4772.0</v>
      </c>
      <c r="I57" s="7">
        <v>3390.0</v>
      </c>
      <c r="J57" s="7">
        <v>1.617708E7</v>
      </c>
      <c r="K57" s="2" t="s">
        <v>101</v>
      </c>
      <c r="M57" s="2" t="s">
        <v>102</v>
      </c>
      <c r="N57" s="7">
        <v>2.0</v>
      </c>
      <c r="O57" s="2" t="s">
        <v>103</v>
      </c>
    </row>
    <row r="58">
      <c r="A58" s="2" t="s">
        <v>106</v>
      </c>
      <c r="B58" s="6">
        <v>46191.93581796296</v>
      </c>
      <c r="D58" s="2" t="s">
        <v>17</v>
      </c>
      <c r="E58" s="7">
        <v>2026.0</v>
      </c>
      <c r="F58" s="7">
        <v>6.0</v>
      </c>
      <c r="G58" s="8">
        <v>46191.0</v>
      </c>
      <c r="H58" s="7">
        <v>4651.0</v>
      </c>
      <c r="I58" s="7">
        <v>3390.0</v>
      </c>
      <c r="J58" s="7">
        <v>1.576689E7</v>
      </c>
      <c r="K58" s="2" t="s">
        <v>101</v>
      </c>
      <c r="M58" s="2" t="s">
        <v>102</v>
      </c>
      <c r="N58" s="7">
        <v>2.0</v>
      </c>
      <c r="O58" s="2" t="s">
        <v>103</v>
      </c>
    </row>
    <row r="59">
      <c r="A59" s="2" t="s">
        <v>107</v>
      </c>
      <c r="B59" s="6">
        <v>46191.93581796296</v>
      </c>
      <c r="D59" s="2" t="s">
        <v>17</v>
      </c>
      <c r="E59" s="7">
        <v>2026.0</v>
      </c>
      <c r="F59" s="7">
        <v>6.0</v>
      </c>
      <c r="G59" s="8">
        <v>46191.0</v>
      </c>
      <c r="H59" s="7">
        <v>4914.0</v>
      </c>
      <c r="I59" s="7">
        <v>3390.0</v>
      </c>
      <c r="J59" s="7">
        <v>1.665846E7</v>
      </c>
      <c r="K59" s="2" t="s">
        <v>101</v>
      </c>
      <c r="M59" s="2" t="s">
        <v>102</v>
      </c>
      <c r="N59" s="7">
        <v>2.0</v>
      </c>
      <c r="O59" s="2" t="s">
        <v>103</v>
      </c>
    </row>
    <row r="60">
      <c r="A60" s="2" t="s">
        <v>108</v>
      </c>
      <c r="B60" s="6">
        <v>46205.87581017361</v>
      </c>
      <c r="D60" s="2" t="s">
        <v>17</v>
      </c>
      <c r="E60" s="7">
        <v>2026.0</v>
      </c>
      <c r="F60" s="7">
        <v>7.0</v>
      </c>
      <c r="G60" s="8">
        <v>46205.0</v>
      </c>
      <c r="H60" s="7">
        <v>6208.0</v>
      </c>
      <c r="I60" s="7">
        <v>3420.0</v>
      </c>
      <c r="J60" s="7">
        <v>2.123136E7</v>
      </c>
      <c r="K60" s="2" t="s">
        <v>109</v>
      </c>
      <c r="M60" s="2" t="s">
        <v>102</v>
      </c>
      <c r="N60" s="7">
        <v>1.0</v>
      </c>
      <c r="O60" s="2" t="s">
        <v>110</v>
      </c>
    </row>
    <row r="61">
      <c r="A61" s="2" t="s">
        <v>111</v>
      </c>
      <c r="B61" s="6">
        <v>46205.87581017361</v>
      </c>
      <c r="D61" s="2" t="s">
        <v>17</v>
      </c>
      <c r="E61" s="7">
        <v>2026.0</v>
      </c>
      <c r="F61" s="7">
        <v>7.0</v>
      </c>
      <c r="G61" s="8">
        <v>46205.0</v>
      </c>
      <c r="H61" s="7">
        <v>5894.0</v>
      </c>
      <c r="I61" s="7">
        <v>3420.0</v>
      </c>
      <c r="J61" s="7">
        <v>2.015748E7</v>
      </c>
      <c r="K61" s="2" t="s">
        <v>109</v>
      </c>
      <c r="M61" s="2" t="s">
        <v>102</v>
      </c>
      <c r="N61" s="7">
        <v>1.0</v>
      </c>
      <c r="O61" s="2" t="s">
        <v>110</v>
      </c>
    </row>
    <row r="62">
      <c r="A62" s="2" t="s">
        <v>112</v>
      </c>
      <c r="B62" s="6">
        <v>46205.87581017361</v>
      </c>
      <c r="D62" s="2" t="s">
        <v>17</v>
      </c>
      <c r="E62" s="7">
        <v>2026.0</v>
      </c>
      <c r="F62" s="7">
        <v>7.0</v>
      </c>
      <c r="G62" s="8">
        <v>46205.0</v>
      </c>
      <c r="H62" s="7">
        <v>5665.0</v>
      </c>
      <c r="I62" s="7">
        <v>3390.0</v>
      </c>
      <c r="J62" s="7">
        <v>1.920435E7</v>
      </c>
      <c r="K62" s="2" t="s">
        <v>109</v>
      </c>
      <c r="M62" s="2" t="s">
        <v>102</v>
      </c>
      <c r="N62" s="7">
        <v>1.0</v>
      </c>
      <c r="O62" s="2" t="s">
        <v>110</v>
      </c>
    </row>
    <row r="63">
      <c r="A63" s="2" t="s">
        <v>113</v>
      </c>
      <c r="B63" s="6">
        <v>46205.87581017361</v>
      </c>
      <c r="D63" s="2" t="s">
        <v>17</v>
      </c>
      <c r="E63" s="7">
        <v>2026.0</v>
      </c>
      <c r="F63" s="7">
        <v>7.0</v>
      </c>
      <c r="G63" s="8">
        <v>46205.0</v>
      </c>
      <c r="H63" s="7">
        <v>2886.0</v>
      </c>
      <c r="I63" s="7">
        <v>3390.0</v>
      </c>
      <c r="J63" s="7">
        <v>9783540.0</v>
      </c>
      <c r="K63" s="2" t="s">
        <v>109</v>
      </c>
      <c r="M63" s="2" t="s">
        <v>102</v>
      </c>
      <c r="N63" s="7">
        <v>1.0</v>
      </c>
      <c r="O63" s="2" t="s">
        <v>110</v>
      </c>
    </row>
    <row r="64">
      <c r="A64" s="2" t="s">
        <v>114</v>
      </c>
      <c r="B64" s="6">
        <v>46205.87581017361</v>
      </c>
      <c r="D64" s="2" t="s">
        <v>17</v>
      </c>
      <c r="E64" s="7">
        <v>2026.0</v>
      </c>
      <c r="F64" s="7">
        <v>7.0</v>
      </c>
      <c r="G64" s="8">
        <v>46205.0</v>
      </c>
      <c r="H64" s="7">
        <v>3792.0</v>
      </c>
      <c r="I64" s="7">
        <v>3390.0</v>
      </c>
      <c r="J64" s="7">
        <v>1.285488E7</v>
      </c>
      <c r="K64" s="2" t="s">
        <v>109</v>
      </c>
      <c r="M64" s="2" t="s">
        <v>102</v>
      </c>
      <c r="N64" s="7">
        <v>1.0</v>
      </c>
      <c r="O64" s="2" t="s">
        <v>110</v>
      </c>
    </row>
    <row r="65">
      <c r="A65" s="2" t="s">
        <v>115</v>
      </c>
      <c r="B65" s="6">
        <v>46205.87581017361</v>
      </c>
      <c r="D65" s="2" t="s">
        <v>17</v>
      </c>
      <c r="E65" s="7">
        <v>2026.0</v>
      </c>
      <c r="F65" s="7">
        <v>7.0</v>
      </c>
      <c r="G65" s="8">
        <v>46205.0</v>
      </c>
      <c r="H65" s="7">
        <v>6230.0</v>
      </c>
      <c r="I65" s="7">
        <v>3390.0</v>
      </c>
      <c r="J65" s="7">
        <v>2.11197E7</v>
      </c>
      <c r="K65" s="2" t="s">
        <v>109</v>
      </c>
      <c r="M65" s="2" t="s">
        <v>102</v>
      </c>
      <c r="N65" s="7">
        <v>1.0</v>
      </c>
      <c r="O65" s="2" t="s">
        <v>110</v>
      </c>
    </row>
  </sheetData>
  <autoFilter ref="$A$1:$O$6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9" t="s">
        <v>116</v>
      </c>
      <c r="B1" s="9" t="s">
        <v>117</v>
      </c>
      <c r="C1" s="9" t="s">
        <v>118</v>
      </c>
      <c r="D1" s="9" t="s">
        <v>119</v>
      </c>
      <c r="E1" s="9" t="s">
        <v>120</v>
      </c>
      <c r="F1" s="9" t="s">
        <v>121</v>
      </c>
      <c r="G1" s="9" t="s">
        <v>122</v>
      </c>
      <c r="H1" s="9" t="s">
        <v>123</v>
      </c>
      <c r="I1" s="9" t="s">
        <v>124</v>
      </c>
      <c r="J1" s="9" t="s">
        <v>125</v>
      </c>
      <c r="K1" s="9" t="s">
        <v>126</v>
      </c>
      <c r="L1" s="9" t="s">
        <v>127</v>
      </c>
      <c r="M1" s="9" t="s">
        <v>128</v>
      </c>
      <c r="N1" s="9" t="s">
        <v>129</v>
      </c>
      <c r="O1" s="9" t="s">
        <v>130</v>
      </c>
      <c r="P1" s="9" t="s">
        <v>131</v>
      </c>
      <c r="Q1" s="9" t="s">
        <v>132</v>
      </c>
      <c r="R1" s="9" t="s">
        <v>133</v>
      </c>
      <c r="S1" s="9" t="s">
        <v>134</v>
      </c>
      <c r="T1" s="9" t="s">
        <v>135</v>
      </c>
      <c r="U1" s="9" t="s">
        <v>136</v>
      </c>
      <c r="V1" s="9" t="s">
        <v>10</v>
      </c>
      <c r="W1" s="9" t="s">
        <v>3</v>
      </c>
      <c r="X1" s="9" t="s">
        <v>1</v>
      </c>
      <c r="Y1" s="9" t="s">
        <v>2</v>
      </c>
    </row>
    <row r="2">
      <c r="A2" s="7">
        <v>2026.0</v>
      </c>
      <c r="B2" s="7">
        <v>604700.0</v>
      </c>
      <c r="C2" s="2">
        <v>33982.0</v>
      </c>
      <c r="D2" s="2">
        <v>31918.0</v>
      </c>
      <c r="E2" s="10">
        <v>36923.0</v>
      </c>
      <c r="F2" s="10">
        <v>56436.0</v>
      </c>
      <c r="G2" s="7">
        <v>52247.0</v>
      </c>
      <c r="H2" s="7">
        <v>47439.0</v>
      </c>
      <c r="I2" s="7">
        <v>48319.0</v>
      </c>
      <c r="J2" s="7">
        <v>47415.0</v>
      </c>
      <c r="K2" s="7">
        <v>54648.0</v>
      </c>
      <c r="L2" s="7">
        <v>73547.0</v>
      </c>
      <c r="M2" s="7">
        <v>56235.0</v>
      </c>
      <c r="N2" s="7">
        <v>65591.0</v>
      </c>
      <c r="O2" s="2" t="s">
        <v>137</v>
      </c>
      <c r="P2" s="2" t="s">
        <v>138</v>
      </c>
      <c r="Q2" s="2">
        <v>2024.2025</v>
      </c>
      <c r="R2" s="2" t="s">
        <v>139</v>
      </c>
      <c r="S2" s="2" t="s">
        <v>140</v>
      </c>
      <c r="T2" s="6">
        <v>46192.48865248842</v>
      </c>
      <c r="U2" s="2" t="s">
        <v>141</v>
      </c>
      <c r="V2" s="2" t="s">
        <v>142</v>
      </c>
      <c r="W2" s="2" t="s">
        <v>17</v>
      </c>
      <c r="X2" s="6">
        <v>46187.638420312505</v>
      </c>
      <c r="Y2" s="6">
        <v>46191.60762131945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9" t="s">
        <v>116</v>
      </c>
      <c r="B1" s="9" t="s">
        <v>117</v>
      </c>
      <c r="C1" s="9" t="s">
        <v>118</v>
      </c>
      <c r="D1" s="9" t="s">
        <v>119</v>
      </c>
      <c r="E1" s="9" t="s">
        <v>120</v>
      </c>
      <c r="F1" s="9" t="s">
        <v>121</v>
      </c>
      <c r="G1" s="9" t="s">
        <v>122</v>
      </c>
      <c r="H1" s="9" t="s">
        <v>123</v>
      </c>
      <c r="I1" s="9" t="s">
        <v>124</v>
      </c>
      <c r="J1" s="9" t="s">
        <v>125</v>
      </c>
      <c r="K1" s="9" t="s">
        <v>126</v>
      </c>
      <c r="L1" s="9" t="s">
        <v>127</v>
      </c>
      <c r="M1" s="9" t="s">
        <v>128</v>
      </c>
      <c r="N1" s="9" t="s">
        <v>129</v>
      </c>
      <c r="O1" s="9" t="s">
        <v>130</v>
      </c>
      <c r="P1" s="9" t="s">
        <v>131</v>
      </c>
      <c r="Q1" s="9" t="s">
        <v>132</v>
      </c>
      <c r="R1" s="9" t="s">
        <v>133</v>
      </c>
      <c r="S1" s="9" t="s">
        <v>136</v>
      </c>
      <c r="T1" s="9" t="s">
        <v>10</v>
      </c>
      <c r="U1" s="9" t="s">
        <v>3</v>
      </c>
      <c r="V1" s="9" t="s">
        <v>1</v>
      </c>
      <c r="W1" s="9" t="s">
        <v>2</v>
      </c>
      <c r="X1" s="9" t="s">
        <v>143</v>
      </c>
      <c r="Y1" s="9" t="s">
        <v>144</v>
      </c>
      <c r="Z1" s="9" t="s">
        <v>145</v>
      </c>
      <c r="AA1" s="9" t="s">
        <v>146</v>
      </c>
      <c r="AB1" s="9" t="s">
        <v>147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4B8A6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" width="12.0"/>
    <col customWidth="1" min="3" max="3" width="8.25"/>
    <col customWidth="1" min="4" max="4" width="10.38"/>
    <col customWidth="1" min="5" max="5" width="10.75"/>
    <col customWidth="1" min="6" max="6" width="11.75"/>
    <col customWidth="1" min="7" max="7" width="12.5"/>
    <col customWidth="1" min="8" max="9" width="12.25"/>
    <col customWidth="1" min="10" max="10" width="50.13"/>
    <col customWidth="1" hidden="1" min="11" max="11" width="11.5"/>
    <col customWidth="1" min="12" max="12" width="75.13"/>
  </cols>
  <sheetData>
    <row r="1">
      <c r="A1" s="1" t="s">
        <v>4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2</v>
      </c>
      <c r="L1" s="1" t="s">
        <v>157</v>
      </c>
    </row>
    <row r="2">
      <c r="A2" s="4">
        <v>2026.0</v>
      </c>
      <c r="B2" s="2" t="s">
        <v>158</v>
      </c>
      <c r="C2" s="2" t="b">
        <v>0</v>
      </c>
      <c r="D2" s="10"/>
      <c r="E2" s="2"/>
      <c r="F2" s="2"/>
      <c r="G2" s="2"/>
      <c r="H2" s="2"/>
      <c r="I2" s="2"/>
      <c r="J2" s="2" t="s">
        <v>159</v>
      </c>
      <c r="K2" s="3">
        <v>46182.57294416666</v>
      </c>
      <c r="L2" s="2" t="s">
        <v>160</v>
      </c>
    </row>
  </sheetData>
  <autoFilter ref="$A$1:$L$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B728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88"/>
    <col customWidth="1" min="2" max="2" width="10.0"/>
    <col customWidth="1" min="3" max="3" width="4.25"/>
    <col customWidth="1" min="4" max="4" width="7.63"/>
    <col customWidth="1" min="5" max="5" width="12.13"/>
    <col customWidth="1" min="6" max="6" width="20.63"/>
    <col customWidth="1" min="7" max="7" width="17.13"/>
    <col customWidth="1" min="8" max="8" width="11.25"/>
    <col customWidth="1" min="9" max="9" width="13.13"/>
    <col customWidth="1" min="10" max="10" width="12.13"/>
    <col customWidth="1" min="11" max="11" width="10.13"/>
    <col customWidth="1" min="12" max="12" width="10.25"/>
  </cols>
  <sheetData>
    <row r="1">
      <c r="A1" s="11" t="s">
        <v>161</v>
      </c>
      <c r="B1" s="11" t="s">
        <v>162</v>
      </c>
      <c r="C1" s="11" t="s">
        <v>163</v>
      </c>
      <c r="D1" s="11" t="s">
        <v>8</v>
      </c>
      <c r="E1" s="11" t="s">
        <v>164</v>
      </c>
      <c r="F1" s="11" t="s">
        <v>165</v>
      </c>
      <c r="G1" s="11" t="s">
        <v>10</v>
      </c>
      <c r="H1" s="11" t="s">
        <v>164</v>
      </c>
      <c r="I1" s="11" t="s">
        <v>10</v>
      </c>
      <c r="J1" s="11" t="s">
        <v>164</v>
      </c>
      <c r="K1" s="11" t="s">
        <v>166</v>
      </c>
      <c r="L1" s="11" t="s">
        <v>164</v>
      </c>
    </row>
    <row r="2">
      <c r="A2" s="12">
        <v>46378.0</v>
      </c>
      <c r="B2" s="2" t="s">
        <v>167</v>
      </c>
      <c r="C2" s="2" t="s">
        <v>163</v>
      </c>
      <c r="D2" s="5">
        <v>3.08</v>
      </c>
      <c r="E2" s="5" t="s">
        <v>168</v>
      </c>
      <c r="F2" s="2" t="s">
        <v>169</v>
      </c>
      <c r="G2" s="2" t="s">
        <v>170</v>
      </c>
      <c r="H2" s="5" t="s">
        <v>171</v>
      </c>
      <c r="I2" s="2" t="s">
        <v>172</v>
      </c>
      <c r="J2" s="5" t="s">
        <v>173</v>
      </c>
      <c r="L2" s="13"/>
    </row>
    <row r="3">
      <c r="B3" s="2" t="s">
        <v>174</v>
      </c>
      <c r="C3" s="2" t="s">
        <v>163</v>
      </c>
      <c r="D3" s="5">
        <v>3.08</v>
      </c>
      <c r="E3" s="5" t="s">
        <v>175</v>
      </c>
      <c r="F3" s="2" t="s">
        <v>176</v>
      </c>
      <c r="G3" s="2" t="s">
        <v>177</v>
      </c>
      <c r="H3" s="5" t="s">
        <v>178</v>
      </c>
      <c r="I3" s="2" t="s">
        <v>179</v>
      </c>
      <c r="J3" s="5" t="s">
        <v>180</v>
      </c>
      <c r="L3" s="13"/>
    </row>
    <row r="4">
      <c r="B4" s="2" t="s">
        <v>181</v>
      </c>
      <c r="C4" s="2" t="s">
        <v>163</v>
      </c>
      <c r="D4" s="5">
        <v>3.08</v>
      </c>
      <c r="E4" s="5" t="s">
        <v>182</v>
      </c>
      <c r="F4" s="2" t="s">
        <v>183</v>
      </c>
      <c r="H4" s="5">
        <v>700.0</v>
      </c>
      <c r="I4" s="2" t="s">
        <v>184</v>
      </c>
      <c r="J4" s="5" t="s">
        <v>185</v>
      </c>
      <c r="L4" s="13"/>
    </row>
    <row r="5">
      <c r="B5" s="2" t="s">
        <v>186</v>
      </c>
      <c r="C5" s="2" t="s">
        <v>163</v>
      </c>
      <c r="D5" s="5">
        <v>3.08</v>
      </c>
      <c r="E5" s="5" t="s">
        <v>187</v>
      </c>
      <c r="F5" s="2" t="s">
        <v>188</v>
      </c>
      <c r="H5" s="5">
        <v>250.0</v>
      </c>
      <c r="I5" s="2" t="s">
        <v>166</v>
      </c>
      <c r="J5" s="5" t="s">
        <v>189</v>
      </c>
      <c r="L5" s="13"/>
    </row>
    <row r="6">
      <c r="B6" s="2" t="s">
        <v>190</v>
      </c>
      <c r="C6" s="2" t="s">
        <v>163</v>
      </c>
      <c r="D6" s="5">
        <v>3.06</v>
      </c>
      <c r="E6" s="5" t="s">
        <v>191</v>
      </c>
      <c r="F6" s="2" t="s">
        <v>192</v>
      </c>
      <c r="G6" s="2" t="s">
        <v>193</v>
      </c>
      <c r="H6" s="5" t="s">
        <v>194</v>
      </c>
      <c r="I6" s="2" t="s">
        <v>195</v>
      </c>
      <c r="J6" s="13"/>
      <c r="L6" s="13"/>
    </row>
    <row r="7">
      <c r="D7" s="13"/>
      <c r="E7" s="5" t="s">
        <v>196</v>
      </c>
      <c r="F7" s="2" t="s">
        <v>197</v>
      </c>
      <c r="H7" s="5" t="s">
        <v>198</v>
      </c>
      <c r="J7" s="13"/>
      <c r="L7" s="13"/>
    </row>
    <row r="8">
      <c r="B8" s="2" t="s">
        <v>199</v>
      </c>
      <c r="D8" s="13"/>
      <c r="E8" s="5" t="s">
        <v>180</v>
      </c>
      <c r="F8" s="2" t="s">
        <v>200</v>
      </c>
      <c r="H8" s="5">
        <v>220.0</v>
      </c>
      <c r="I8" s="2" t="s">
        <v>201</v>
      </c>
      <c r="J8" s="5" t="s">
        <v>202</v>
      </c>
      <c r="L8" s="13"/>
    </row>
    <row r="9">
      <c r="D9" s="13"/>
      <c r="E9" s="13"/>
      <c r="F9" s="2" t="s">
        <v>203</v>
      </c>
      <c r="H9" s="5" t="s">
        <v>204</v>
      </c>
      <c r="I9" s="2" t="s">
        <v>205</v>
      </c>
      <c r="J9" s="5" t="s">
        <v>202</v>
      </c>
      <c r="L9" s="13"/>
    </row>
    <row r="10">
      <c r="D10" s="13"/>
      <c r="E10" s="13"/>
      <c r="F10" s="2" t="s">
        <v>206</v>
      </c>
      <c r="H10" s="5" t="s">
        <v>207</v>
      </c>
      <c r="I10" s="2" t="s">
        <v>208</v>
      </c>
      <c r="J10" s="5" t="s">
        <v>209</v>
      </c>
      <c r="L10" s="13"/>
    </row>
    <row r="11">
      <c r="D11" s="13"/>
      <c r="E11" s="13"/>
      <c r="F11" s="2" t="s">
        <v>210</v>
      </c>
      <c r="H11" s="5">
        <v>100.0</v>
      </c>
      <c r="J11" s="13"/>
      <c r="L11" s="13"/>
    </row>
    <row r="12">
      <c r="D12" s="13"/>
      <c r="E12" s="13"/>
      <c r="F12" s="2" t="s">
        <v>211</v>
      </c>
      <c r="H12" s="5" t="s">
        <v>212</v>
      </c>
      <c r="J12" s="13"/>
      <c r="L12" s="13"/>
    </row>
    <row r="13">
      <c r="D13" s="13"/>
      <c r="E13" s="13"/>
      <c r="H13" s="13"/>
      <c r="J13" s="13"/>
      <c r="L13" s="13"/>
    </row>
    <row r="14">
      <c r="D14" s="13"/>
      <c r="E14" s="13"/>
      <c r="H14" s="13"/>
      <c r="I14" s="2" t="s">
        <v>213</v>
      </c>
      <c r="J14" s="5" t="s">
        <v>214</v>
      </c>
      <c r="L14" s="13"/>
    </row>
    <row r="15">
      <c r="D15" s="13"/>
      <c r="E15" s="13"/>
      <c r="H15" s="13"/>
      <c r="J15" s="13"/>
      <c r="L15" s="13"/>
    </row>
    <row r="16">
      <c r="D16" s="13"/>
      <c r="E16" s="13"/>
      <c r="H16" s="13"/>
      <c r="J16" s="13"/>
      <c r="L16" s="13"/>
    </row>
    <row r="17">
      <c r="D17" s="13"/>
      <c r="E17" s="13"/>
      <c r="H17" s="13"/>
      <c r="J17" s="13"/>
      <c r="L17" s="13"/>
    </row>
    <row r="18">
      <c r="D18" s="13"/>
      <c r="E18" s="13"/>
      <c r="G18" s="2" t="s">
        <v>201</v>
      </c>
      <c r="H18" s="5" t="s">
        <v>185</v>
      </c>
      <c r="J18" s="13"/>
      <c r="L18" s="13"/>
    </row>
    <row r="19">
      <c r="A19" s="2" t="s">
        <v>161</v>
      </c>
      <c r="B19" s="2" t="s">
        <v>215</v>
      </c>
      <c r="C19" s="2" t="s">
        <v>163</v>
      </c>
      <c r="D19" s="5" t="s">
        <v>8</v>
      </c>
      <c r="E19" s="5" t="s">
        <v>164</v>
      </c>
      <c r="F19" s="2" t="s">
        <v>216</v>
      </c>
      <c r="G19" s="2" t="s">
        <v>10</v>
      </c>
      <c r="H19" s="5" t="s">
        <v>164</v>
      </c>
      <c r="I19" s="2" t="s">
        <v>10</v>
      </c>
      <c r="J19" s="5" t="s">
        <v>164</v>
      </c>
      <c r="K19" s="2" t="s">
        <v>166</v>
      </c>
      <c r="L19" s="5" t="s">
        <v>164</v>
      </c>
    </row>
    <row r="20">
      <c r="A20" s="14">
        <v>46026.0</v>
      </c>
      <c r="B20" s="2" t="s">
        <v>217</v>
      </c>
      <c r="C20" s="2" t="s">
        <v>163</v>
      </c>
      <c r="D20" s="5">
        <v>3.08</v>
      </c>
      <c r="E20" s="5" t="s">
        <v>218</v>
      </c>
      <c r="F20" s="2" t="s">
        <v>169</v>
      </c>
      <c r="G20" s="2" t="s">
        <v>219</v>
      </c>
      <c r="H20" s="5" t="s">
        <v>220</v>
      </c>
      <c r="I20" s="2" t="s">
        <v>172</v>
      </c>
      <c r="J20" s="13"/>
      <c r="L20" s="13"/>
    </row>
    <row r="21">
      <c r="B21" s="2" t="s">
        <v>221</v>
      </c>
      <c r="C21" s="2" t="s">
        <v>163</v>
      </c>
      <c r="D21" s="5">
        <v>3.08</v>
      </c>
      <c r="E21" s="5" t="s">
        <v>222</v>
      </c>
      <c r="F21" s="2" t="s">
        <v>176</v>
      </c>
      <c r="G21" s="2" t="s">
        <v>223</v>
      </c>
      <c r="H21" s="5" t="s">
        <v>224</v>
      </c>
      <c r="I21" s="2" t="s">
        <v>225</v>
      </c>
      <c r="J21" s="5" t="s">
        <v>226</v>
      </c>
      <c r="L21" s="13"/>
    </row>
    <row r="22">
      <c r="B22" s="2" t="s">
        <v>227</v>
      </c>
      <c r="C22" s="2" t="s">
        <v>163</v>
      </c>
      <c r="D22" s="5">
        <v>3.05</v>
      </c>
      <c r="E22" s="5" t="s">
        <v>228</v>
      </c>
      <c r="F22" s="2" t="s">
        <v>183</v>
      </c>
      <c r="H22" s="5">
        <v>700.0</v>
      </c>
      <c r="I22" s="2" t="s">
        <v>229</v>
      </c>
      <c r="J22" s="5" t="s">
        <v>230</v>
      </c>
      <c r="L22" s="13"/>
    </row>
    <row r="23">
      <c r="B23" s="2" t="s">
        <v>231</v>
      </c>
      <c r="C23" s="2" t="s">
        <v>163</v>
      </c>
      <c r="D23" s="5">
        <v>3.05</v>
      </c>
      <c r="E23" s="5" t="s">
        <v>232</v>
      </c>
      <c r="F23" s="2" t="s">
        <v>188</v>
      </c>
      <c r="H23" s="5">
        <v>200.0</v>
      </c>
      <c r="I23" s="2" t="s">
        <v>166</v>
      </c>
      <c r="J23" s="13"/>
      <c r="L23" s="13"/>
    </row>
    <row r="24">
      <c r="D24" s="13"/>
      <c r="E24" s="5" t="s">
        <v>196</v>
      </c>
      <c r="F24" s="2" t="s">
        <v>233</v>
      </c>
      <c r="H24" s="5" t="s">
        <v>234</v>
      </c>
      <c r="I24" s="2" t="s">
        <v>195</v>
      </c>
      <c r="J24" s="5" t="s">
        <v>189</v>
      </c>
      <c r="L24" s="13"/>
    </row>
    <row r="25">
      <c r="D25" s="13"/>
      <c r="E25" s="5" t="s">
        <v>196</v>
      </c>
      <c r="F25" s="2" t="s">
        <v>235</v>
      </c>
      <c r="H25" s="5">
        <v>500.0</v>
      </c>
      <c r="J25" s="13"/>
      <c r="L25" s="13"/>
    </row>
    <row r="26">
      <c r="B26" s="2" t="s">
        <v>236</v>
      </c>
      <c r="D26" s="13"/>
      <c r="E26" s="5" t="s">
        <v>226</v>
      </c>
      <c r="F26" s="2" t="s">
        <v>237</v>
      </c>
      <c r="H26" s="5" t="s">
        <v>189</v>
      </c>
      <c r="I26" s="2" t="s">
        <v>201</v>
      </c>
      <c r="J26" s="5" t="s">
        <v>238</v>
      </c>
      <c r="L26" s="13"/>
    </row>
    <row r="27">
      <c r="D27" s="13"/>
      <c r="E27" s="13"/>
      <c r="F27" s="2" t="s">
        <v>239</v>
      </c>
      <c r="G27" s="2" t="s">
        <v>240</v>
      </c>
      <c r="H27" s="5" t="s">
        <v>241</v>
      </c>
      <c r="I27" s="2" t="s">
        <v>205</v>
      </c>
      <c r="J27" s="5" t="s">
        <v>242</v>
      </c>
      <c r="L27" s="13"/>
    </row>
    <row r="28">
      <c r="D28" s="13"/>
      <c r="E28" s="13"/>
      <c r="F28" s="2" t="s">
        <v>243</v>
      </c>
      <c r="H28" s="5">
        <v>750.0</v>
      </c>
      <c r="I28" s="2" t="s">
        <v>208</v>
      </c>
      <c r="J28" s="5" t="s">
        <v>244</v>
      </c>
      <c r="L28" s="13"/>
    </row>
    <row r="29">
      <c r="D29" s="13"/>
      <c r="E29" s="13"/>
      <c r="F29" s="2" t="s">
        <v>245</v>
      </c>
      <c r="H29" s="5">
        <v>330.0</v>
      </c>
      <c r="J29" s="13"/>
      <c r="L29" s="13"/>
    </row>
    <row r="30">
      <c r="D30" s="13"/>
      <c r="E30" s="13"/>
      <c r="F30" s="2" t="s">
        <v>246</v>
      </c>
      <c r="H30" s="5">
        <v>100.0</v>
      </c>
      <c r="J30" s="13"/>
      <c r="L30" s="13"/>
    </row>
    <row r="31">
      <c r="D31" s="13"/>
      <c r="E31" s="13"/>
      <c r="F31" s="2" t="s">
        <v>239</v>
      </c>
      <c r="G31" s="2" t="s">
        <v>247</v>
      </c>
      <c r="H31" s="5">
        <v>800.0</v>
      </c>
      <c r="J31" s="13"/>
      <c r="L31" s="13"/>
    </row>
    <row r="32">
      <c r="D32" s="13"/>
      <c r="E32" s="13"/>
      <c r="F32" s="2" t="s">
        <v>248</v>
      </c>
      <c r="G32" s="2" t="s">
        <v>249</v>
      </c>
      <c r="H32" s="5" t="s">
        <v>250</v>
      </c>
      <c r="I32" s="2" t="s">
        <v>251</v>
      </c>
      <c r="J32" s="5" t="s">
        <v>252</v>
      </c>
      <c r="L32" s="13"/>
    </row>
    <row r="33">
      <c r="D33" s="13"/>
      <c r="E33" s="13"/>
      <c r="H33" s="13"/>
      <c r="J33" s="13"/>
      <c r="L33" s="13"/>
    </row>
    <row r="34">
      <c r="D34" s="13"/>
      <c r="E34" s="13"/>
      <c r="H34" s="13"/>
      <c r="J34" s="13"/>
      <c r="L34" s="13"/>
    </row>
    <row r="35">
      <c r="D35" s="13"/>
      <c r="E35" s="13"/>
      <c r="H35" s="13"/>
      <c r="J35" s="13"/>
      <c r="L35" s="13"/>
    </row>
    <row r="36">
      <c r="D36" s="13"/>
      <c r="E36" s="13"/>
      <c r="G36" s="2" t="s">
        <v>201</v>
      </c>
      <c r="H36" s="5" t="s">
        <v>230</v>
      </c>
      <c r="J36" s="13"/>
      <c r="L36" s="13"/>
    </row>
    <row r="37">
      <c r="A37" s="2" t="s">
        <v>253</v>
      </c>
      <c r="B37" s="2" t="s">
        <v>162</v>
      </c>
      <c r="C37" s="2" t="s">
        <v>163</v>
      </c>
      <c r="D37" s="5" t="s">
        <v>8</v>
      </c>
      <c r="E37" s="5" t="s">
        <v>164</v>
      </c>
      <c r="F37" s="2" t="s">
        <v>165</v>
      </c>
      <c r="G37" s="2" t="s">
        <v>10</v>
      </c>
      <c r="H37" s="5" t="s">
        <v>164</v>
      </c>
      <c r="I37" s="2" t="s">
        <v>10</v>
      </c>
      <c r="J37" s="5" t="s">
        <v>164</v>
      </c>
      <c r="K37" s="2" t="s">
        <v>166</v>
      </c>
      <c r="L37" s="5" t="s">
        <v>164</v>
      </c>
    </row>
    <row r="38">
      <c r="A38" s="14">
        <v>46041.0</v>
      </c>
      <c r="B38" s="2" t="s">
        <v>254</v>
      </c>
      <c r="C38" s="2" t="s">
        <v>163</v>
      </c>
      <c r="D38" s="5">
        <v>3.07</v>
      </c>
      <c r="E38" s="5" t="s">
        <v>255</v>
      </c>
      <c r="F38" s="2" t="s">
        <v>169</v>
      </c>
      <c r="G38" s="2" t="s">
        <v>256</v>
      </c>
      <c r="H38" s="5" t="s">
        <v>257</v>
      </c>
      <c r="I38" s="2" t="s">
        <v>172</v>
      </c>
      <c r="J38" s="5" t="s">
        <v>189</v>
      </c>
      <c r="L38" s="13"/>
    </row>
    <row r="39">
      <c r="B39" s="2" t="s">
        <v>258</v>
      </c>
      <c r="C39" s="2" t="s">
        <v>163</v>
      </c>
      <c r="D39" s="5">
        <v>3.09</v>
      </c>
      <c r="E39" s="5" t="s">
        <v>259</v>
      </c>
      <c r="F39" s="2" t="s">
        <v>176</v>
      </c>
      <c r="G39" s="2" t="s">
        <v>260</v>
      </c>
      <c r="H39" s="5" t="s">
        <v>261</v>
      </c>
      <c r="I39" s="2" t="s">
        <v>179</v>
      </c>
      <c r="J39" s="5" t="s">
        <v>262</v>
      </c>
      <c r="L39" s="13"/>
    </row>
    <row r="40">
      <c r="B40" s="2" t="s">
        <v>263</v>
      </c>
      <c r="C40" s="2" t="s">
        <v>163</v>
      </c>
      <c r="D40" s="5">
        <v>3.09</v>
      </c>
      <c r="E40" s="5" t="s">
        <v>264</v>
      </c>
      <c r="F40" s="2" t="s">
        <v>183</v>
      </c>
      <c r="H40" s="5">
        <v>700.0</v>
      </c>
      <c r="I40" s="2" t="s">
        <v>184</v>
      </c>
      <c r="J40" s="5" t="s">
        <v>265</v>
      </c>
      <c r="L40" s="13"/>
    </row>
    <row r="41">
      <c r="B41" s="2" t="s">
        <v>266</v>
      </c>
      <c r="C41" s="2" t="s">
        <v>163</v>
      </c>
      <c r="D41" s="5">
        <v>3.07</v>
      </c>
      <c r="E41" s="5" t="s">
        <v>267</v>
      </c>
      <c r="F41" s="2" t="s">
        <v>188</v>
      </c>
      <c r="H41" s="5">
        <v>250.0</v>
      </c>
      <c r="I41" s="2" t="s">
        <v>166</v>
      </c>
      <c r="J41" s="5" t="s">
        <v>189</v>
      </c>
      <c r="L41" s="13"/>
    </row>
    <row r="42">
      <c r="B42" s="2" t="s">
        <v>268</v>
      </c>
      <c r="C42" s="2" t="s">
        <v>163</v>
      </c>
      <c r="D42" s="5">
        <v>3.09</v>
      </c>
      <c r="E42" s="5" t="s">
        <v>269</v>
      </c>
      <c r="F42" s="2" t="s">
        <v>270</v>
      </c>
      <c r="G42" s="2" t="s">
        <v>271</v>
      </c>
      <c r="H42" s="5" t="s">
        <v>272</v>
      </c>
      <c r="I42" s="2" t="s">
        <v>195</v>
      </c>
      <c r="J42" s="13"/>
      <c r="L42" s="13"/>
    </row>
    <row r="43">
      <c r="D43" s="13"/>
      <c r="E43" s="5" t="s">
        <v>196</v>
      </c>
      <c r="F43" s="2" t="s">
        <v>197</v>
      </c>
      <c r="H43" s="5" t="s">
        <v>273</v>
      </c>
      <c r="J43" s="13"/>
      <c r="L43" s="13"/>
    </row>
    <row r="44">
      <c r="B44" s="2" t="s">
        <v>274</v>
      </c>
      <c r="D44" s="13"/>
      <c r="E44" s="5" t="s">
        <v>262</v>
      </c>
      <c r="F44" s="2" t="s">
        <v>275</v>
      </c>
      <c r="H44" s="5">
        <v>400.0</v>
      </c>
      <c r="I44" s="2" t="s">
        <v>201</v>
      </c>
      <c r="J44" s="5" t="s">
        <v>276</v>
      </c>
      <c r="L44" s="13"/>
    </row>
    <row r="45">
      <c r="D45" s="13"/>
      <c r="E45" s="13"/>
      <c r="F45" s="2" t="s">
        <v>200</v>
      </c>
      <c r="G45" s="2" t="s">
        <v>277</v>
      </c>
      <c r="H45" s="5">
        <v>220.0</v>
      </c>
      <c r="I45" s="2" t="s">
        <v>205</v>
      </c>
      <c r="J45" s="5" t="s">
        <v>278</v>
      </c>
      <c r="L45" s="13"/>
    </row>
    <row r="46">
      <c r="D46" s="13"/>
      <c r="E46" s="13"/>
      <c r="F46" s="2" t="s">
        <v>279</v>
      </c>
      <c r="H46" s="5">
        <v>150.0</v>
      </c>
      <c r="I46" s="2" t="s">
        <v>208</v>
      </c>
      <c r="J46" s="5" t="s">
        <v>280</v>
      </c>
      <c r="L46" s="13"/>
    </row>
    <row r="47">
      <c r="D47" s="13"/>
      <c r="E47" s="13"/>
      <c r="F47" s="2" t="s">
        <v>281</v>
      </c>
      <c r="H47" s="5" t="s">
        <v>282</v>
      </c>
      <c r="J47" s="13"/>
      <c r="L47" s="13"/>
    </row>
    <row r="48">
      <c r="D48" s="13"/>
      <c r="E48" s="13"/>
      <c r="F48" s="2" t="s">
        <v>283</v>
      </c>
      <c r="G48" s="2" t="s">
        <v>284</v>
      </c>
      <c r="H48" s="5" t="s">
        <v>285</v>
      </c>
      <c r="J48" s="13"/>
      <c r="L48" s="13"/>
    </row>
    <row r="49">
      <c r="D49" s="13"/>
      <c r="E49" s="13"/>
      <c r="F49" s="2" t="s">
        <v>243</v>
      </c>
      <c r="H49" s="5">
        <v>750.0</v>
      </c>
      <c r="J49" s="13"/>
      <c r="L49" s="13"/>
    </row>
    <row r="50">
      <c r="D50" s="13"/>
      <c r="E50" s="13"/>
      <c r="H50" s="13"/>
      <c r="I50" s="2" t="s">
        <v>251</v>
      </c>
      <c r="J50" s="5" t="s">
        <v>276</v>
      </c>
      <c r="L50" s="13"/>
    </row>
    <row r="51">
      <c r="D51" s="13"/>
      <c r="E51" s="13"/>
      <c r="H51" s="13"/>
      <c r="J51" s="13"/>
      <c r="L51" s="13"/>
    </row>
    <row r="52">
      <c r="D52" s="13"/>
      <c r="E52" s="13"/>
      <c r="H52" s="13"/>
      <c r="J52" s="13"/>
      <c r="L52" s="13"/>
    </row>
    <row r="53">
      <c r="D53" s="13"/>
      <c r="E53" s="13"/>
      <c r="H53" s="13"/>
      <c r="J53" s="13"/>
      <c r="L53" s="13"/>
    </row>
    <row r="54">
      <c r="D54" s="13"/>
      <c r="E54" s="13"/>
      <c r="G54" s="2" t="s">
        <v>201</v>
      </c>
      <c r="H54" s="5" t="s">
        <v>265</v>
      </c>
      <c r="J54" s="13"/>
      <c r="L54" s="13"/>
    </row>
    <row r="55">
      <c r="A55" s="2" t="s">
        <v>253</v>
      </c>
      <c r="B55" s="2" t="s">
        <v>215</v>
      </c>
      <c r="C55" s="2" t="s">
        <v>163</v>
      </c>
      <c r="D55" s="5" t="s">
        <v>8</v>
      </c>
      <c r="E55" s="5" t="s">
        <v>164</v>
      </c>
      <c r="F55" s="2" t="s">
        <v>216</v>
      </c>
      <c r="G55" s="2" t="s">
        <v>10</v>
      </c>
      <c r="H55" s="5" t="s">
        <v>164</v>
      </c>
      <c r="I55" s="2" t="s">
        <v>10</v>
      </c>
      <c r="J55" s="5" t="s">
        <v>164</v>
      </c>
      <c r="K55" s="2" t="s">
        <v>166</v>
      </c>
      <c r="L55" s="5" t="s">
        <v>164</v>
      </c>
    </row>
    <row r="56">
      <c r="A56" s="14">
        <v>46055.0</v>
      </c>
      <c r="B56" s="2" t="s">
        <v>286</v>
      </c>
      <c r="C56" s="2" t="s">
        <v>163</v>
      </c>
      <c r="D56" s="5">
        <v>3.34</v>
      </c>
      <c r="E56" s="5" t="s">
        <v>287</v>
      </c>
      <c r="F56" s="2" t="s">
        <v>169</v>
      </c>
      <c r="G56" s="2" t="s">
        <v>288</v>
      </c>
      <c r="H56" s="5" t="s">
        <v>289</v>
      </c>
      <c r="I56" s="2" t="s">
        <v>172</v>
      </c>
      <c r="J56" s="5" t="s">
        <v>290</v>
      </c>
      <c r="K56" s="2" t="s">
        <v>291</v>
      </c>
      <c r="L56" s="5">
        <v>500.0</v>
      </c>
    </row>
    <row r="57">
      <c r="B57" s="2" t="s">
        <v>292</v>
      </c>
      <c r="C57" s="2" t="s">
        <v>163</v>
      </c>
      <c r="D57" s="5">
        <v>3.37</v>
      </c>
      <c r="E57" s="5" t="s">
        <v>293</v>
      </c>
      <c r="F57" s="2" t="s">
        <v>176</v>
      </c>
      <c r="G57" s="2" t="s">
        <v>294</v>
      </c>
      <c r="H57" s="5" t="s">
        <v>295</v>
      </c>
      <c r="I57" s="2" t="s">
        <v>225</v>
      </c>
      <c r="J57" s="5" t="s">
        <v>296</v>
      </c>
      <c r="L57" s="13"/>
    </row>
    <row r="58">
      <c r="B58" s="2" t="s">
        <v>297</v>
      </c>
      <c r="C58" s="2" t="s">
        <v>163</v>
      </c>
      <c r="D58" s="5">
        <v>3.41</v>
      </c>
      <c r="E58" s="5" t="s">
        <v>298</v>
      </c>
      <c r="F58" s="2" t="s">
        <v>183</v>
      </c>
      <c r="H58" s="5">
        <v>700.0</v>
      </c>
      <c r="I58" s="2" t="s">
        <v>229</v>
      </c>
      <c r="J58" s="5" t="s">
        <v>299</v>
      </c>
      <c r="L58" s="13"/>
    </row>
    <row r="59">
      <c r="B59" s="2" t="s">
        <v>300</v>
      </c>
      <c r="C59" s="2" t="s">
        <v>163</v>
      </c>
      <c r="D59" s="5">
        <v>3.43</v>
      </c>
      <c r="E59" s="5" t="s">
        <v>301</v>
      </c>
      <c r="F59" s="2" t="s">
        <v>188</v>
      </c>
      <c r="H59" s="5">
        <v>200.0</v>
      </c>
      <c r="I59" s="2" t="s">
        <v>166</v>
      </c>
      <c r="J59" s="13"/>
      <c r="L59" s="13"/>
    </row>
    <row r="60">
      <c r="D60" s="13"/>
      <c r="E60" s="5" t="s">
        <v>196</v>
      </c>
      <c r="F60" s="2" t="s">
        <v>302</v>
      </c>
      <c r="G60" s="2" t="s">
        <v>303</v>
      </c>
      <c r="H60" s="5" t="s">
        <v>304</v>
      </c>
      <c r="I60" s="2" t="s">
        <v>195</v>
      </c>
      <c r="J60" s="5" t="s">
        <v>189</v>
      </c>
      <c r="L60" s="13"/>
    </row>
    <row r="61">
      <c r="D61" s="13"/>
      <c r="E61" s="5" t="s">
        <v>196</v>
      </c>
      <c r="F61" s="2" t="s">
        <v>197</v>
      </c>
      <c r="G61" s="2" t="s">
        <v>305</v>
      </c>
      <c r="H61" s="5" t="s">
        <v>306</v>
      </c>
      <c r="J61" s="13"/>
      <c r="L61" s="13"/>
    </row>
    <row r="62">
      <c r="B62" s="2" t="s">
        <v>307</v>
      </c>
      <c r="D62" s="13"/>
      <c r="E62" s="5" t="s">
        <v>296</v>
      </c>
      <c r="F62" s="2" t="s">
        <v>308</v>
      </c>
      <c r="G62" s="2" t="s">
        <v>309</v>
      </c>
      <c r="H62" s="5">
        <v>500.0</v>
      </c>
      <c r="I62" s="2" t="s">
        <v>201</v>
      </c>
      <c r="J62" s="5" t="s">
        <v>310</v>
      </c>
      <c r="L62" s="13"/>
    </row>
    <row r="63">
      <c r="D63" s="13"/>
      <c r="E63" s="13"/>
      <c r="F63" s="2" t="s">
        <v>233</v>
      </c>
      <c r="H63" s="5" t="s">
        <v>234</v>
      </c>
      <c r="I63" s="2" t="s">
        <v>205</v>
      </c>
      <c r="J63" s="13"/>
      <c r="L63" s="13"/>
    </row>
    <row r="64">
      <c r="D64" s="13"/>
      <c r="E64" s="13"/>
      <c r="F64" s="2" t="s">
        <v>311</v>
      </c>
      <c r="H64" s="5" t="s">
        <v>312</v>
      </c>
      <c r="I64" s="2" t="s">
        <v>208</v>
      </c>
      <c r="J64" s="5" t="s">
        <v>310</v>
      </c>
      <c r="L64" s="13"/>
    </row>
    <row r="65">
      <c r="D65" s="13"/>
      <c r="E65" s="13"/>
      <c r="F65" s="2" t="s">
        <v>313</v>
      </c>
      <c r="H65" s="5" t="s">
        <v>314</v>
      </c>
      <c r="J65" s="13"/>
      <c r="L65" s="13"/>
    </row>
    <row r="66">
      <c r="D66" s="13"/>
      <c r="E66" s="13"/>
      <c r="F66" s="2" t="s">
        <v>237</v>
      </c>
      <c r="G66" s="2" t="s">
        <v>315</v>
      </c>
      <c r="H66" s="5" t="s">
        <v>316</v>
      </c>
      <c r="J66" s="13"/>
      <c r="L66" s="13"/>
    </row>
    <row r="67">
      <c r="D67" s="13"/>
      <c r="E67" s="13"/>
      <c r="F67" s="2" t="s">
        <v>246</v>
      </c>
      <c r="H67" s="5" t="s">
        <v>317</v>
      </c>
      <c r="J67" s="13"/>
      <c r="L67" s="13"/>
    </row>
    <row r="68">
      <c r="D68" s="13"/>
      <c r="E68" s="13"/>
      <c r="F68" s="2" t="s">
        <v>248</v>
      </c>
      <c r="G68" s="2" t="s">
        <v>318</v>
      </c>
      <c r="H68" s="5">
        <v>560.0</v>
      </c>
      <c r="I68" s="2" t="s">
        <v>213</v>
      </c>
      <c r="J68" s="5" t="s">
        <v>319</v>
      </c>
      <c r="L68" s="13"/>
    </row>
    <row r="69">
      <c r="D69" s="13"/>
      <c r="E69" s="13"/>
      <c r="F69" s="2" t="s">
        <v>239</v>
      </c>
      <c r="G69" s="2" t="s">
        <v>320</v>
      </c>
      <c r="H69" s="5" t="s">
        <v>321</v>
      </c>
      <c r="J69" s="13"/>
      <c r="L69" s="13"/>
    </row>
    <row r="70">
      <c r="D70" s="13"/>
      <c r="E70" s="13"/>
      <c r="F70" s="2" t="s">
        <v>322</v>
      </c>
      <c r="H70" s="5" t="s">
        <v>323</v>
      </c>
      <c r="J70" s="13"/>
      <c r="L70" s="13"/>
    </row>
    <row r="71">
      <c r="D71" s="13"/>
      <c r="E71" s="13"/>
      <c r="H71" s="13"/>
      <c r="J71" s="13"/>
      <c r="L71" s="13"/>
    </row>
    <row r="72">
      <c r="D72" s="13"/>
      <c r="E72" s="13"/>
      <c r="G72" s="2" t="s">
        <v>201</v>
      </c>
      <c r="H72" s="5" t="s">
        <v>299</v>
      </c>
      <c r="J72" s="13"/>
      <c r="L72" s="13"/>
    </row>
    <row r="73">
      <c r="A73" s="2" t="s">
        <v>324</v>
      </c>
      <c r="B73" s="2" t="s">
        <v>162</v>
      </c>
      <c r="C73" s="2" t="s">
        <v>163</v>
      </c>
      <c r="D73" s="5" t="s">
        <v>8</v>
      </c>
      <c r="E73" s="5" t="s">
        <v>164</v>
      </c>
      <c r="F73" s="2" t="s">
        <v>165</v>
      </c>
      <c r="G73" s="2" t="s">
        <v>10</v>
      </c>
      <c r="H73" s="5" t="s">
        <v>164</v>
      </c>
      <c r="I73" s="2" t="s">
        <v>10</v>
      </c>
      <c r="J73" s="5" t="s">
        <v>164</v>
      </c>
      <c r="K73" s="2" t="s">
        <v>166</v>
      </c>
      <c r="L73" s="5" t="s">
        <v>164</v>
      </c>
    </row>
    <row r="74">
      <c r="A74" s="14">
        <v>46068.0</v>
      </c>
      <c r="B74" s="2" t="s">
        <v>325</v>
      </c>
      <c r="C74" s="2" t="s">
        <v>163</v>
      </c>
      <c r="D74" s="5">
        <v>3.3</v>
      </c>
      <c r="E74" s="5" t="s">
        <v>326</v>
      </c>
      <c r="F74" s="2" t="s">
        <v>169</v>
      </c>
      <c r="G74" s="2" t="s">
        <v>327</v>
      </c>
      <c r="H74" s="5" t="s">
        <v>328</v>
      </c>
      <c r="I74" s="2" t="s">
        <v>172</v>
      </c>
      <c r="J74" s="5" t="s">
        <v>242</v>
      </c>
      <c r="K74" s="2" t="s">
        <v>291</v>
      </c>
      <c r="L74" s="5">
        <v>500.0</v>
      </c>
    </row>
    <row r="75">
      <c r="B75" s="2" t="s">
        <v>329</v>
      </c>
      <c r="C75" s="2" t="s">
        <v>163</v>
      </c>
      <c r="D75" s="5">
        <v>3.3</v>
      </c>
      <c r="E75" s="5" t="s">
        <v>330</v>
      </c>
      <c r="F75" s="2" t="s">
        <v>176</v>
      </c>
      <c r="G75" s="2" t="s">
        <v>331</v>
      </c>
      <c r="H75" s="5" t="s">
        <v>332</v>
      </c>
      <c r="I75" s="2" t="s">
        <v>179</v>
      </c>
      <c r="J75" s="5" t="s">
        <v>333</v>
      </c>
      <c r="K75" s="2" t="s">
        <v>322</v>
      </c>
      <c r="L75" s="5" t="s">
        <v>323</v>
      </c>
    </row>
    <row r="76">
      <c r="B76" s="2" t="s">
        <v>334</v>
      </c>
      <c r="C76" s="2" t="s">
        <v>163</v>
      </c>
      <c r="D76" s="5">
        <v>3.3</v>
      </c>
      <c r="E76" s="5" t="s">
        <v>335</v>
      </c>
      <c r="F76" s="2" t="s">
        <v>183</v>
      </c>
      <c r="H76" s="5">
        <v>700.0</v>
      </c>
      <c r="I76" s="2" t="s">
        <v>184</v>
      </c>
      <c r="J76" s="5" t="s">
        <v>336</v>
      </c>
      <c r="L76" s="13"/>
    </row>
    <row r="77">
      <c r="B77" s="2" t="s">
        <v>337</v>
      </c>
      <c r="C77" s="2" t="s">
        <v>163</v>
      </c>
      <c r="D77" s="5">
        <v>3.3</v>
      </c>
      <c r="E77" s="5" t="s">
        <v>338</v>
      </c>
      <c r="F77" s="2" t="s">
        <v>188</v>
      </c>
      <c r="H77" s="5">
        <v>200.0</v>
      </c>
      <c r="I77" s="2" t="s">
        <v>166</v>
      </c>
      <c r="J77" s="5" t="s">
        <v>339</v>
      </c>
      <c r="L77" s="13"/>
    </row>
    <row r="78">
      <c r="D78" s="13"/>
      <c r="E78" s="5" t="s">
        <v>196</v>
      </c>
      <c r="F78" s="2" t="s">
        <v>340</v>
      </c>
      <c r="G78" s="2" t="s">
        <v>341</v>
      </c>
      <c r="H78" s="5" t="s">
        <v>342</v>
      </c>
      <c r="I78" s="2" t="s">
        <v>195</v>
      </c>
      <c r="J78" s="13"/>
      <c r="L78" s="13"/>
    </row>
    <row r="79">
      <c r="D79" s="13"/>
      <c r="E79" s="5" t="s">
        <v>196</v>
      </c>
      <c r="F79" s="2" t="s">
        <v>197</v>
      </c>
      <c r="G79" s="2" t="s">
        <v>343</v>
      </c>
      <c r="H79" s="5" t="s">
        <v>344</v>
      </c>
      <c r="J79" s="13"/>
      <c r="L79" s="13"/>
    </row>
    <row r="80">
      <c r="B80" s="2" t="s">
        <v>345</v>
      </c>
      <c r="D80" s="13"/>
      <c r="E80" s="5" t="s">
        <v>333</v>
      </c>
      <c r="F80" s="2" t="s">
        <v>308</v>
      </c>
      <c r="G80" s="2" t="s">
        <v>309</v>
      </c>
      <c r="H80" s="5">
        <v>500.0</v>
      </c>
      <c r="I80" s="2" t="s">
        <v>201</v>
      </c>
      <c r="J80" s="5" t="s">
        <v>346</v>
      </c>
      <c r="L80" s="13"/>
    </row>
    <row r="81">
      <c r="D81" s="13"/>
      <c r="E81" s="13"/>
      <c r="F81" s="2" t="s">
        <v>347</v>
      </c>
      <c r="H81" s="5">
        <v>270.0</v>
      </c>
      <c r="I81" s="2" t="s">
        <v>205</v>
      </c>
      <c r="J81" s="5" t="s">
        <v>348</v>
      </c>
      <c r="L81" s="13"/>
    </row>
    <row r="82">
      <c r="D82" s="13"/>
      <c r="E82" s="13"/>
      <c r="F82" s="2" t="s">
        <v>200</v>
      </c>
      <c r="H82" s="5">
        <v>220.0</v>
      </c>
      <c r="I82" s="2" t="s">
        <v>208</v>
      </c>
      <c r="J82" s="5" t="s">
        <v>349</v>
      </c>
      <c r="L82" s="13"/>
    </row>
    <row r="83">
      <c r="D83" s="13"/>
      <c r="E83" s="13"/>
      <c r="F83" s="2" t="s">
        <v>239</v>
      </c>
      <c r="G83" s="2" t="s">
        <v>247</v>
      </c>
      <c r="H83" s="5">
        <v>400.0</v>
      </c>
      <c r="J83" s="13"/>
      <c r="L83" s="13"/>
    </row>
    <row r="84">
      <c r="D84" s="13"/>
      <c r="E84" s="13"/>
      <c r="F84" s="2" t="s">
        <v>340</v>
      </c>
      <c r="G84" s="2" t="s">
        <v>350</v>
      </c>
      <c r="H84" s="5" t="s">
        <v>351</v>
      </c>
      <c r="J84" s="13"/>
      <c r="L84" s="13"/>
    </row>
    <row r="85">
      <c r="D85" s="13"/>
      <c r="E85" s="13"/>
      <c r="F85" s="2" t="s">
        <v>352</v>
      </c>
      <c r="H85" s="5" t="s">
        <v>207</v>
      </c>
      <c r="J85" s="13"/>
      <c r="L85" s="13"/>
    </row>
    <row r="86">
      <c r="D86" s="13"/>
      <c r="E86" s="13"/>
      <c r="F86" s="2" t="s">
        <v>237</v>
      </c>
      <c r="G86" s="2" t="s">
        <v>353</v>
      </c>
      <c r="H86" s="5" t="s">
        <v>189</v>
      </c>
      <c r="I86" s="2" t="s">
        <v>213</v>
      </c>
      <c r="J86" s="5" t="s">
        <v>354</v>
      </c>
      <c r="L86" s="13"/>
    </row>
    <row r="87">
      <c r="D87" s="13"/>
      <c r="E87" s="13"/>
      <c r="F87" s="2" t="s">
        <v>355</v>
      </c>
      <c r="H87" s="5" t="s">
        <v>207</v>
      </c>
      <c r="J87" s="13"/>
      <c r="L87" s="13"/>
    </row>
    <row r="88">
      <c r="D88" s="13"/>
      <c r="E88" s="13"/>
      <c r="F88" s="2" t="s">
        <v>211</v>
      </c>
      <c r="H88" s="5">
        <v>758.0</v>
      </c>
      <c r="J88" s="13"/>
      <c r="L88" s="13"/>
    </row>
    <row r="89">
      <c r="D89" s="13"/>
      <c r="E89" s="13"/>
      <c r="H89" s="13"/>
      <c r="J89" s="13"/>
      <c r="L89" s="13"/>
    </row>
    <row r="90">
      <c r="D90" s="13"/>
      <c r="E90" s="13"/>
      <c r="G90" s="2" t="s">
        <v>201</v>
      </c>
      <c r="H90" s="5" t="s">
        <v>336</v>
      </c>
      <c r="J90" s="13"/>
      <c r="L90" s="13"/>
    </row>
    <row r="91">
      <c r="A91" s="2" t="s">
        <v>324</v>
      </c>
      <c r="B91" s="2" t="s">
        <v>215</v>
      </c>
      <c r="C91" s="2" t="s">
        <v>163</v>
      </c>
      <c r="D91" s="5" t="s">
        <v>8</v>
      </c>
      <c r="E91" s="5" t="s">
        <v>164</v>
      </c>
      <c r="F91" s="2" t="s">
        <v>216</v>
      </c>
      <c r="G91" s="2" t="s">
        <v>10</v>
      </c>
      <c r="H91" s="5" t="s">
        <v>164</v>
      </c>
      <c r="I91" s="2" t="s">
        <v>10</v>
      </c>
      <c r="J91" s="5" t="s">
        <v>164</v>
      </c>
      <c r="K91" s="2" t="s">
        <v>166</v>
      </c>
      <c r="L91" s="5" t="s">
        <v>164</v>
      </c>
    </row>
    <row r="92">
      <c r="A92" s="14">
        <v>46080.0</v>
      </c>
      <c r="B92" s="2" t="s">
        <v>356</v>
      </c>
      <c r="C92" s="2" t="s">
        <v>163</v>
      </c>
      <c r="D92" s="5">
        <v>3.21</v>
      </c>
      <c r="E92" s="5" t="s">
        <v>357</v>
      </c>
      <c r="F92" s="2" t="s">
        <v>169</v>
      </c>
      <c r="G92" s="2" t="s">
        <v>358</v>
      </c>
      <c r="H92" s="5" t="s">
        <v>359</v>
      </c>
      <c r="I92" s="2" t="s">
        <v>172</v>
      </c>
      <c r="J92" s="5" t="s">
        <v>349</v>
      </c>
      <c r="K92" s="2" t="s">
        <v>291</v>
      </c>
      <c r="L92" s="5">
        <v>500.0</v>
      </c>
    </row>
    <row r="93">
      <c r="B93" s="2" t="s">
        <v>360</v>
      </c>
      <c r="C93" s="2" t="s">
        <v>163</v>
      </c>
      <c r="D93" s="5">
        <v>3.21</v>
      </c>
      <c r="E93" s="5" t="s">
        <v>361</v>
      </c>
      <c r="F93" s="2" t="s">
        <v>176</v>
      </c>
      <c r="G93" s="2" t="s">
        <v>362</v>
      </c>
      <c r="H93" s="5" t="s">
        <v>363</v>
      </c>
      <c r="I93" s="2" t="s">
        <v>225</v>
      </c>
      <c r="J93" s="5" t="s">
        <v>364</v>
      </c>
      <c r="K93" s="2" t="s">
        <v>322</v>
      </c>
      <c r="L93" s="5" t="s">
        <v>323</v>
      </c>
    </row>
    <row r="94">
      <c r="B94" s="2" t="s">
        <v>365</v>
      </c>
      <c r="C94" s="2" t="s">
        <v>163</v>
      </c>
      <c r="D94" s="5">
        <v>3.24</v>
      </c>
      <c r="E94" s="5" t="s">
        <v>366</v>
      </c>
      <c r="F94" s="2" t="s">
        <v>183</v>
      </c>
      <c r="H94" s="5" t="s">
        <v>198</v>
      </c>
      <c r="I94" s="2" t="s">
        <v>229</v>
      </c>
      <c r="J94" s="5" t="s">
        <v>367</v>
      </c>
      <c r="K94" s="2" t="s">
        <v>322</v>
      </c>
      <c r="L94" s="5" t="s">
        <v>207</v>
      </c>
    </row>
    <row r="95">
      <c r="A95" s="14">
        <v>46094.0</v>
      </c>
      <c r="B95" s="2" t="s">
        <v>368</v>
      </c>
      <c r="C95" s="2" t="s">
        <v>163</v>
      </c>
      <c r="D95" s="5">
        <v>3.55</v>
      </c>
      <c r="E95" s="5" t="s">
        <v>369</v>
      </c>
      <c r="F95" s="2" t="s">
        <v>188</v>
      </c>
      <c r="H95" s="5">
        <v>300.0</v>
      </c>
      <c r="I95" s="2" t="s">
        <v>166</v>
      </c>
      <c r="J95" s="5" t="s">
        <v>234</v>
      </c>
      <c r="K95" s="2" t="s">
        <v>370</v>
      </c>
      <c r="L95" s="5" t="s">
        <v>339</v>
      </c>
    </row>
    <row r="96">
      <c r="B96" s="2" t="s">
        <v>371</v>
      </c>
      <c r="C96" s="2" t="s">
        <v>163</v>
      </c>
      <c r="D96" s="5">
        <v>3.55</v>
      </c>
      <c r="E96" s="5" t="s">
        <v>372</v>
      </c>
      <c r="F96" s="2" t="s">
        <v>373</v>
      </c>
      <c r="G96" s="2" t="s">
        <v>247</v>
      </c>
      <c r="H96" s="5" t="s">
        <v>374</v>
      </c>
      <c r="I96" s="2" t="s">
        <v>195</v>
      </c>
      <c r="J96" s="5" t="s">
        <v>339</v>
      </c>
      <c r="L96" s="13"/>
    </row>
    <row r="97">
      <c r="B97" s="2" t="s">
        <v>375</v>
      </c>
      <c r="C97" s="2" t="s">
        <v>163</v>
      </c>
      <c r="D97" s="5">
        <v>3.55</v>
      </c>
      <c r="E97" s="5" t="s">
        <v>376</v>
      </c>
      <c r="F97" s="2" t="s">
        <v>239</v>
      </c>
      <c r="G97" s="2" t="s">
        <v>247</v>
      </c>
      <c r="H97" s="5" t="s">
        <v>377</v>
      </c>
      <c r="J97" s="13"/>
      <c r="L97" s="13"/>
    </row>
    <row r="98">
      <c r="B98" s="2" t="s">
        <v>378</v>
      </c>
      <c r="D98" s="13"/>
      <c r="E98" s="5" t="s">
        <v>364</v>
      </c>
      <c r="F98" s="2" t="s">
        <v>200</v>
      </c>
      <c r="H98" s="5">
        <v>220.0</v>
      </c>
      <c r="I98" s="2" t="s">
        <v>201</v>
      </c>
      <c r="J98" s="5" t="s">
        <v>379</v>
      </c>
      <c r="L98" s="13"/>
    </row>
    <row r="99">
      <c r="D99" s="13"/>
      <c r="E99" s="13"/>
      <c r="F99" s="2" t="s">
        <v>355</v>
      </c>
      <c r="H99" s="5" t="s">
        <v>380</v>
      </c>
      <c r="I99" s="2" t="s">
        <v>205</v>
      </c>
      <c r="J99" s="5" t="s">
        <v>381</v>
      </c>
      <c r="L99" s="13"/>
    </row>
    <row r="100">
      <c r="D100" s="13"/>
      <c r="E100" s="13"/>
      <c r="F100" s="2" t="s">
        <v>382</v>
      </c>
      <c r="H100" s="5" t="s">
        <v>383</v>
      </c>
      <c r="I100" s="2" t="s">
        <v>208</v>
      </c>
      <c r="J100" s="5">
        <v>362.33</v>
      </c>
      <c r="L100" s="13"/>
    </row>
    <row r="101">
      <c r="D101" s="13"/>
      <c r="E101" s="13"/>
      <c r="F101" s="2" t="s">
        <v>233</v>
      </c>
      <c r="H101" s="5" t="s">
        <v>234</v>
      </c>
      <c r="J101" s="13"/>
      <c r="L101" s="13"/>
    </row>
    <row r="102">
      <c r="D102" s="13"/>
      <c r="E102" s="13"/>
      <c r="F102" s="2" t="s">
        <v>239</v>
      </c>
      <c r="H102" s="5" t="s">
        <v>384</v>
      </c>
      <c r="J102" s="13"/>
      <c r="L102" s="13"/>
    </row>
    <row r="103">
      <c r="D103" s="13"/>
      <c r="E103" s="13"/>
      <c r="F103" s="2" t="s">
        <v>192</v>
      </c>
      <c r="G103" s="2" t="s">
        <v>385</v>
      </c>
      <c r="H103" s="5" t="s">
        <v>386</v>
      </c>
      <c r="J103" s="13"/>
      <c r="L103" s="13"/>
    </row>
    <row r="104">
      <c r="D104" s="13"/>
      <c r="E104" s="13"/>
      <c r="F104" s="2" t="s">
        <v>387</v>
      </c>
      <c r="G104" s="2" t="s">
        <v>388</v>
      </c>
      <c r="H104" s="5" t="s">
        <v>389</v>
      </c>
      <c r="I104" s="2" t="s">
        <v>213</v>
      </c>
      <c r="J104" s="5" t="s">
        <v>390</v>
      </c>
      <c r="L104" s="13"/>
    </row>
    <row r="105">
      <c r="D105" s="13"/>
      <c r="E105" s="13"/>
      <c r="F105" s="2" t="s">
        <v>391</v>
      </c>
      <c r="H105" s="5">
        <v>400.0</v>
      </c>
      <c r="J105" s="13"/>
      <c r="L105" s="13"/>
    </row>
    <row r="106">
      <c r="D106" s="13"/>
      <c r="E106" s="13"/>
      <c r="F106" s="2" t="s">
        <v>392</v>
      </c>
      <c r="H106" s="5" t="s">
        <v>393</v>
      </c>
      <c r="J106" s="13"/>
      <c r="L106" s="13"/>
    </row>
    <row r="107">
      <c r="D107" s="13"/>
      <c r="E107" s="13"/>
      <c r="F107" s="2" t="s">
        <v>394</v>
      </c>
      <c r="H107" s="5" t="s">
        <v>395</v>
      </c>
      <c r="J107" s="13"/>
      <c r="L107" s="13"/>
    </row>
    <row r="108">
      <c r="D108" s="13"/>
      <c r="E108" s="13"/>
      <c r="G108" s="2" t="s">
        <v>201</v>
      </c>
      <c r="H108" s="5" t="s">
        <v>367</v>
      </c>
      <c r="J108" s="13"/>
      <c r="L108" s="13"/>
    </row>
    <row r="109">
      <c r="A109" s="2" t="s">
        <v>324</v>
      </c>
      <c r="B109" s="2" t="s">
        <v>215</v>
      </c>
      <c r="C109" s="2" t="s">
        <v>163</v>
      </c>
      <c r="D109" s="5" t="s">
        <v>8</v>
      </c>
      <c r="E109" s="5" t="s">
        <v>164</v>
      </c>
      <c r="F109" s="2" t="s">
        <v>396</v>
      </c>
      <c r="G109" s="2" t="s">
        <v>10</v>
      </c>
      <c r="H109" s="5" t="s">
        <v>164</v>
      </c>
      <c r="I109" s="2" t="s">
        <v>10</v>
      </c>
      <c r="J109" s="5" t="s">
        <v>164</v>
      </c>
      <c r="K109" s="2" t="s">
        <v>166</v>
      </c>
      <c r="L109" s="5" t="s">
        <v>164</v>
      </c>
    </row>
    <row r="110">
      <c r="A110" s="14">
        <v>46108.0</v>
      </c>
      <c r="B110" s="2" t="s">
        <v>397</v>
      </c>
      <c r="C110" s="2" t="s">
        <v>163</v>
      </c>
      <c r="D110" s="5">
        <v>3.57</v>
      </c>
      <c r="E110" s="5" t="s">
        <v>398</v>
      </c>
      <c r="F110" s="2" t="s">
        <v>169</v>
      </c>
      <c r="G110" s="2" t="s">
        <v>399</v>
      </c>
      <c r="H110" s="5" t="s">
        <v>400</v>
      </c>
      <c r="I110" s="2" t="s">
        <v>172</v>
      </c>
      <c r="J110" s="13"/>
      <c r="K110" s="2" t="s">
        <v>291</v>
      </c>
      <c r="L110" s="5">
        <v>500.0</v>
      </c>
    </row>
    <row r="111">
      <c r="B111" s="2" t="s">
        <v>401</v>
      </c>
      <c r="C111" s="2" t="s">
        <v>163</v>
      </c>
      <c r="D111" s="5">
        <v>3.54</v>
      </c>
      <c r="E111" s="5" t="s">
        <v>402</v>
      </c>
      <c r="F111" s="2" t="s">
        <v>176</v>
      </c>
      <c r="G111" s="2" t="s">
        <v>403</v>
      </c>
      <c r="H111" s="5" t="s">
        <v>404</v>
      </c>
      <c r="I111" s="2" t="s">
        <v>179</v>
      </c>
      <c r="J111" s="5" t="s">
        <v>405</v>
      </c>
      <c r="K111" s="2" t="s">
        <v>406</v>
      </c>
      <c r="L111" s="5" t="s">
        <v>323</v>
      </c>
    </row>
    <row r="112">
      <c r="B112" s="2" t="s">
        <v>407</v>
      </c>
      <c r="C112" s="2" t="s">
        <v>163</v>
      </c>
      <c r="D112" s="5">
        <v>3.54</v>
      </c>
      <c r="E112" s="5" t="s">
        <v>408</v>
      </c>
      <c r="F112" s="2" t="s">
        <v>183</v>
      </c>
      <c r="H112" s="5">
        <v>700.0</v>
      </c>
      <c r="I112" s="2" t="s">
        <v>184</v>
      </c>
      <c r="J112" s="5" t="s">
        <v>409</v>
      </c>
      <c r="K112" s="2" t="s">
        <v>406</v>
      </c>
      <c r="L112" s="5" t="s">
        <v>207</v>
      </c>
    </row>
    <row r="113">
      <c r="B113" s="2" t="s">
        <v>410</v>
      </c>
      <c r="C113" s="2" t="s">
        <v>163</v>
      </c>
      <c r="D113" s="5">
        <v>3.57</v>
      </c>
      <c r="E113" s="5" t="s">
        <v>411</v>
      </c>
      <c r="F113" s="2" t="s">
        <v>188</v>
      </c>
      <c r="H113" s="5">
        <v>150.0</v>
      </c>
      <c r="I113" s="2" t="s">
        <v>166</v>
      </c>
      <c r="J113" s="13"/>
      <c r="K113" s="2" t="s">
        <v>412</v>
      </c>
      <c r="L113" s="5" t="s">
        <v>380</v>
      </c>
    </row>
    <row r="114">
      <c r="D114" s="13"/>
      <c r="E114" s="5" t="s">
        <v>196</v>
      </c>
      <c r="F114" s="2" t="s">
        <v>413</v>
      </c>
      <c r="H114" s="5">
        <v>220.0</v>
      </c>
      <c r="I114" s="2" t="s">
        <v>195</v>
      </c>
      <c r="J114" s="5" t="s">
        <v>234</v>
      </c>
      <c r="K114" s="2" t="s">
        <v>370</v>
      </c>
      <c r="L114" s="5" t="s">
        <v>234</v>
      </c>
    </row>
    <row r="115">
      <c r="D115" s="13"/>
      <c r="E115" s="5" t="s">
        <v>196</v>
      </c>
      <c r="F115" s="2" t="s">
        <v>414</v>
      </c>
      <c r="G115" s="2" t="s">
        <v>415</v>
      </c>
      <c r="H115" s="5" t="s">
        <v>317</v>
      </c>
      <c r="J115" s="13"/>
      <c r="L115" s="13"/>
    </row>
    <row r="116">
      <c r="B116" s="2" t="s">
        <v>416</v>
      </c>
      <c r="D116" s="13"/>
      <c r="E116" s="5" t="s">
        <v>405</v>
      </c>
      <c r="F116" s="2" t="s">
        <v>417</v>
      </c>
      <c r="G116" s="2" t="s">
        <v>418</v>
      </c>
      <c r="H116" s="5" t="s">
        <v>419</v>
      </c>
      <c r="I116" s="2" t="s">
        <v>201</v>
      </c>
      <c r="J116" s="5" t="s">
        <v>420</v>
      </c>
      <c r="L116" s="13"/>
    </row>
    <row r="117">
      <c r="D117" s="13"/>
      <c r="E117" s="13"/>
      <c r="F117" s="2" t="s">
        <v>421</v>
      </c>
      <c r="H117" s="5">
        <v>450.0</v>
      </c>
      <c r="I117" s="2" t="s">
        <v>205</v>
      </c>
      <c r="J117" s="5" t="s">
        <v>422</v>
      </c>
      <c r="L117" s="13"/>
    </row>
    <row r="118">
      <c r="D118" s="13"/>
      <c r="E118" s="13"/>
      <c r="F118" s="2" t="s">
        <v>239</v>
      </c>
      <c r="G118" s="2" t="s">
        <v>423</v>
      </c>
      <c r="H118" s="5" t="s">
        <v>424</v>
      </c>
      <c r="I118" s="2" t="s">
        <v>208</v>
      </c>
      <c r="J118" s="5">
        <v>654.63</v>
      </c>
      <c r="L118" s="13"/>
    </row>
    <row r="119">
      <c r="D119" s="13"/>
      <c r="E119" s="13"/>
      <c r="F119" s="2" t="s">
        <v>425</v>
      </c>
      <c r="H119" s="5">
        <v>750.0</v>
      </c>
      <c r="J119" s="13"/>
      <c r="L119" s="13"/>
    </row>
    <row r="120">
      <c r="D120" s="13"/>
      <c r="E120" s="13"/>
      <c r="F120" s="2" t="s">
        <v>426</v>
      </c>
      <c r="H120" s="5" t="s">
        <v>234</v>
      </c>
      <c r="J120" s="13"/>
      <c r="L120" s="13"/>
    </row>
    <row r="121">
      <c r="D121" s="13"/>
      <c r="E121" s="13"/>
      <c r="F121" s="2" t="s">
        <v>427</v>
      </c>
      <c r="H121" s="5">
        <v>350.0</v>
      </c>
      <c r="J121" s="13"/>
      <c r="L121" s="13"/>
    </row>
    <row r="122">
      <c r="D122" s="13"/>
      <c r="E122" s="13"/>
      <c r="F122" s="2" t="s">
        <v>235</v>
      </c>
      <c r="H122" s="5">
        <v>500.0</v>
      </c>
      <c r="I122" s="2" t="s">
        <v>213</v>
      </c>
      <c r="J122" s="5" t="s">
        <v>428</v>
      </c>
      <c r="L122" s="13"/>
    </row>
    <row r="123">
      <c r="D123" s="13"/>
      <c r="E123" s="13"/>
      <c r="F123" s="2" t="s">
        <v>243</v>
      </c>
      <c r="H123" s="5">
        <v>750.0</v>
      </c>
      <c r="J123" s="13"/>
      <c r="L123" s="13"/>
    </row>
    <row r="124">
      <c r="D124" s="13"/>
      <c r="E124" s="13"/>
      <c r="F124" s="2" t="s">
        <v>429</v>
      </c>
      <c r="H124" s="5" t="s">
        <v>430</v>
      </c>
      <c r="J124" s="13"/>
      <c r="L124" s="13"/>
    </row>
    <row r="125">
      <c r="D125" s="13"/>
      <c r="E125" s="13"/>
      <c r="H125" s="13"/>
      <c r="J125" s="13"/>
      <c r="L125" s="13"/>
    </row>
    <row r="126">
      <c r="D126" s="13"/>
      <c r="E126" s="13"/>
      <c r="G126" s="2" t="s">
        <v>201</v>
      </c>
      <c r="H126" s="5" t="s">
        <v>409</v>
      </c>
      <c r="J126" s="13"/>
      <c r="L126" s="13"/>
    </row>
    <row r="127">
      <c r="A127" s="2" t="s">
        <v>431</v>
      </c>
      <c r="B127" s="2" t="s">
        <v>162</v>
      </c>
      <c r="C127" s="2" t="s">
        <v>163</v>
      </c>
      <c r="D127" s="5" t="s">
        <v>8</v>
      </c>
      <c r="E127" s="5" t="s">
        <v>164</v>
      </c>
      <c r="F127" s="2" t="s">
        <v>165</v>
      </c>
      <c r="G127" s="2" t="s">
        <v>10</v>
      </c>
      <c r="H127" s="5" t="s">
        <v>164</v>
      </c>
      <c r="I127" s="2" t="s">
        <v>10</v>
      </c>
      <c r="J127" s="5" t="s">
        <v>164</v>
      </c>
      <c r="K127" s="2" t="s">
        <v>166</v>
      </c>
      <c r="L127" s="5" t="s">
        <v>164</v>
      </c>
    </row>
    <row r="128">
      <c r="A128" s="14">
        <v>46123.0</v>
      </c>
      <c r="B128" s="2" t="s">
        <v>432</v>
      </c>
      <c r="C128" s="2" t="s">
        <v>163</v>
      </c>
      <c r="D128" s="5">
        <v>3.69</v>
      </c>
      <c r="E128" s="5" t="s">
        <v>433</v>
      </c>
      <c r="F128" s="2" t="s">
        <v>169</v>
      </c>
      <c r="G128" s="2" t="s">
        <v>434</v>
      </c>
      <c r="H128" s="5" t="s">
        <v>435</v>
      </c>
      <c r="I128" s="2" t="s">
        <v>172</v>
      </c>
      <c r="J128" s="13"/>
      <c r="K128" s="2" t="s">
        <v>291</v>
      </c>
      <c r="L128" s="5">
        <v>500.0</v>
      </c>
    </row>
    <row r="129">
      <c r="B129" s="2" t="s">
        <v>436</v>
      </c>
      <c r="C129" s="2" t="s">
        <v>163</v>
      </c>
      <c r="D129" s="5">
        <v>3.69</v>
      </c>
      <c r="E129" s="5" t="s">
        <v>437</v>
      </c>
      <c r="F129" s="2" t="s">
        <v>176</v>
      </c>
      <c r="G129" s="2" t="s">
        <v>438</v>
      </c>
      <c r="H129" s="5" t="s">
        <v>439</v>
      </c>
      <c r="I129" s="2" t="s">
        <v>225</v>
      </c>
      <c r="J129" s="5" t="s">
        <v>440</v>
      </c>
      <c r="K129" s="2" t="s">
        <v>441</v>
      </c>
      <c r="L129" s="5" t="s">
        <v>380</v>
      </c>
    </row>
    <row r="130">
      <c r="B130" s="2" t="s">
        <v>442</v>
      </c>
      <c r="C130" s="2" t="s">
        <v>163</v>
      </c>
      <c r="D130" s="5">
        <v>3.65</v>
      </c>
      <c r="E130" s="5" t="s">
        <v>443</v>
      </c>
      <c r="F130" s="2" t="s">
        <v>183</v>
      </c>
      <c r="H130" s="5">
        <v>700.0</v>
      </c>
      <c r="I130" s="2" t="s">
        <v>229</v>
      </c>
      <c r="J130" s="5" t="s">
        <v>444</v>
      </c>
      <c r="K130" s="2" t="s">
        <v>406</v>
      </c>
      <c r="L130" s="5" t="s">
        <v>380</v>
      </c>
    </row>
    <row r="131">
      <c r="B131" s="2" t="s">
        <v>445</v>
      </c>
      <c r="C131" s="2" t="s">
        <v>163</v>
      </c>
      <c r="D131" s="5">
        <v>3.65</v>
      </c>
      <c r="E131" s="5" t="s">
        <v>446</v>
      </c>
      <c r="F131" s="2" t="s">
        <v>188</v>
      </c>
      <c r="H131" s="5">
        <v>250.0</v>
      </c>
      <c r="I131" s="2" t="s">
        <v>166</v>
      </c>
      <c r="J131" s="5" t="s">
        <v>207</v>
      </c>
      <c r="L131" s="13"/>
    </row>
    <row r="132">
      <c r="B132" s="2" t="s">
        <v>447</v>
      </c>
      <c r="C132" s="2" t="s">
        <v>163</v>
      </c>
      <c r="D132" s="5">
        <v>3.65</v>
      </c>
      <c r="E132" s="5" t="s">
        <v>448</v>
      </c>
      <c r="F132" s="2" t="s">
        <v>449</v>
      </c>
      <c r="H132" s="5" t="s">
        <v>450</v>
      </c>
      <c r="I132" s="2" t="s">
        <v>195</v>
      </c>
      <c r="J132" s="13"/>
      <c r="L132" s="13"/>
    </row>
    <row r="133">
      <c r="D133" s="13"/>
      <c r="E133" s="5" t="s">
        <v>196</v>
      </c>
      <c r="F133" s="2" t="s">
        <v>451</v>
      </c>
      <c r="G133" s="2" t="s">
        <v>452</v>
      </c>
      <c r="H133" s="5" t="s">
        <v>234</v>
      </c>
      <c r="J133" s="13"/>
      <c r="L133" s="13"/>
    </row>
    <row r="134">
      <c r="B134" s="2" t="s">
        <v>453</v>
      </c>
      <c r="D134" s="13"/>
      <c r="E134" s="5" t="s">
        <v>440</v>
      </c>
      <c r="F134" s="2" t="s">
        <v>454</v>
      </c>
      <c r="G134" s="2" t="s">
        <v>455</v>
      </c>
      <c r="H134" s="5">
        <v>810.0</v>
      </c>
      <c r="I134" s="2" t="s">
        <v>201</v>
      </c>
      <c r="J134" s="5" t="s">
        <v>456</v>
      </c>
      <c r="L134" s="13"/>
    </row>
    <row r="135">
      <c r="D135" s="13"/>
      <c r="E135" s="13"/>
      <c r="F135" s="2" t="s">
        <v>457</v>
      </c>
      <c r="H135" s="5" t="s">
        <v>458</v>
      </c>
      <c r="I135" s="2" t="s">
        <v>205</v>
      </c>
      <c r="J135" s="5" t="s">
        <v>459</v>
      </c>
      <c r="L135" s="13"/>
    </row>
    <row r="136">
      <c r="D136" s="13"/>
      <c r="E136" s="13"/>
      <c r="F136" s="2" t="s">
        <v>460</v>
      </c>
      <c r="H136" s="5" t="s">
        <v>461</v>
      </c>
      <c r="I136" s="2" t="s">
        <v>208</v>
      </c>
      <c r="J136" s="5" t="s">
        <v>462</v>
      </c>
      <c r="L136" s="13"/>
    </row>
    <row r="137">
      <c r="D137" s="13"/>
      <c r="E137" s="13"/>
      <c r="F137" s="2" t="s">
        <v>239</v>
      </c>
      <c r="G137" s="2" t="s">
        <v>463</v>
      </c>
      <c r="H137" s="5" t="s">
        <v>464</v>
      </c>
      <c r="J137" s="13"/>
      <c r="L137" s="13"/>
    </row>
    <row r="138">
      <c r="D138" s="13"/>
      <c r="E138" s="13"/>
      <c r="F138" s="2" t="s">
        <v>465</v>
      </c>
      <c r="G138" s="2" t="s">
        <v>466</v>
      </c>
      <c r="H138" s="5" t="s">
        <v>467</v>
      </c>
      <c r="J138" s="13"/>
      <c r="L138" s="13"/>
    </row>
    <row r="139">
      <c r="D139" s="13"/>
      <c r="E139" s="13"/>
      <c r="F139" s="2" t="s">
        <v>211</v>
      </c>
      <c r="H139" s="5" t="s">
        <v>468</v>
      </c>
      <c r="J139" s="13"/>
      <c r="L139" s="13"/>
    </row>
    <row r="140">
      <c r="D140" s="13"/>
      <c r="E140" s="13"/>
      <c r="H140" s="13"/>
      <c r="I140" s="2" t="s">
        <v>213</v>
      </c>
      <c r="J140" s="5" t="s">
        <v>469</v>
      </c>
      <c r="L140" s="13"/>
    </row>
    <row r="141">
      <c r="D141" s="13"/>
      <c r="E141" s="13"/>
      <c r="H141" s="13"/>
      <c r="J141" s="13"/>
      <c r="L141" s="13"/>
    </row>
    <row r="142">
      <c r="D142" s="13"/>
      <c r="E142" s="13"/>
      <c r="H142" s="13"/>
      <c r="J142" s="13"/>
      <c r="L142" s="13"/>
    </row>
    <row r="143">
      <c r="D143" s="13"/>
      <c r="E143" s="13"/>
      <c r="H143" s="13"/>
      <c r="J143" s="13"/>
      <c r="L143" s="13"/>
    </row>
    <row r="144">
      <c r="D144" s="13"/>
      <c r="E144" s="13"/>
      <c r="G144" s="2" t="s">
        <v>201</v>
      </c>
      <c r="H144" s="5" t="s">
        <v>444</v>
      </c>
      <c r="J144" s="13"/>
      <c r="L144" s="13"/>
    </row>
    <row r="145">
      <c r="A145" s="2" t="s">
        <v>470</v>
      </c>
      <c r="B145" s="2" t="s">
        <v>162</v>
      </c>
      <c r="C145" s="2" t="s">
        <v>163</v>
      </c>
      <c r="D145" s="5" t="s">
        <v>8</v>
      </c>
      <c r="E145" s="5" t="s">
        <v>164</v>
      </c>
      <c r="F145" s="2" t="s">
        <v>165</v>
      </c>
      <c r="G145" s="2" t="s">
        <v>10</v>
      </c>
      <c r="H145" s="5" t="s">
        <v>164</v>
      </c>
      <c r="I145" s="2" t="s">
        <v>10</v>
      </c>
      <c r="J145" s="5" t="s">
        <v>164</v>
      </c>
      <c r="K145" s="2" t="s">
        <v>166</v>
      </c>
      <c r="L145" s="5" t="s">
        <v>164</v>
      </c>
    </row>
    <row r="146">
      <c r="A146" s="14">
        <v>46138.0</v>
      </c>
      <c r="B146" s="2" t="s">
        <v>174</v>
      </c>
      <c r="C146" s="2" t="s">
        <v>163</v>
      </c>
      <c r="D146" s="5">
        <v>3.57</v>
      </c>
      <c r="E146" s="5" t="s">
        <v>471</v>
      </c>
      <c r="F146" s="2" t="s">
        <v>169</v>
      </c>
      <c r="G146" s="2" t="s">
        <v>472</v>
      </c>
      <c r="H146" s="5" t="s">
        <v>473</v>
      </c>
      <c r="I146" s="2" t="s">
        <v>172</v>
      </c>
      <c r="J146" s="5" t="s">
        <v>474</v>
      </c>
      <c r="K146" s="2" t="s">
        <v>370</v>
      </c>
      <c r="L146" s="5" t="s">
        <v>207</v>
      </c>
    </row>
    <row r="147">
      <c r="B147" s="2" t="s">
        <v>475</v>
      </c>
      <c r="C147" s="2" t="s">
        <v>163</v>
      </c>
      <c r="D147" s="5">
        <v>3.57</v>
      </c>
      <c r="E147" s="5" t="s">
        <v>476</v>
      </c>
      <c r="F147" s="2" t="s">
        <v>176</v>
      </c>
      <c r="G147" s="2" t="s">
        <v>477</v>
      </c>
      <c r="H147" s="5" t="s">
        <v>478</v>
      </c>
      <c r="I147" s="2" t="s">
        <v>179</v>
      </c>
      <c r="J147" s="5" t="s">
        <v>479</v>
      </c>
      <c r="L147" s="13"/>
    </row>
    <row r="148">
      <c r="B148" s="2" t="s">
        <v>480</v>
      </c>
      <c r="C148" s="2" t="s">
        <v>163</v>
      </c>
      <c r="D148" s="5">
        <v>3.57</v>
      </c>
      <c r="E148" s="5" t="s">
        <v>481</v>
      </c>
      <c r="F148" s="2" t="s">
        <v>183</v>
      </c>
      <c r="H148" s="5">
        <v>700.0</v>
      </c>
      <c r="I148" s="2" t="s">
        <v>184</v>
      </c>
      <c r="J148" s="5" t="s">
        <v>482</v>
      </c>
      <c r="L148" s="13"/>
    </row>
    <row r="149">
      <c r="B149" s="2" t="s">
        <v>483</v>
      </c>
      <c r="C149" s="2" t="s">
        <v>163</v>
      </c>
      <c r="D149" s="5">
        <v>3.57</v>
      </c>
      <c r="E149" s="5" t="s">
        <v>484</v>
      </c>
      <c r="F149" s="2" t="s">
        <v>188</v>
      </c>
      <c r="H149" s="5">
        <v>200.0</v>
      </c>
      <c r="I149" s="2" t="s">
        <v>166</v>
      </c>
      <c r="J149" s="13"/>
      <c r="L149" s="13"/>
    </row>
    <row r="150">
      <c r="D150" s="13"/>
      <c r="E150" s="5" t="s">
        <v>196</v>
      </c>
      <c r="F150" s="2" t="s">
        <v>485</v>
      </c>
      <c r="G150" s="2" t="s">
        <v>486</v>
      </c>
      <c r="H150" s="5" t="s">
        <v>487</v>
      </c>
      <c r="I150" s="2" t="s">
        <v>195</v>
      </c>
      <c r="J150" s="5" t="s">
        <v>207</v>
      </c>
      <c r="L150" s="13"/>
    </row>
    <row r="151">
      <c r="D151" s="13"/>
      <c r="E151" s="5" t="s">
        <v>196</v>
      </c>
      <c r="F151" s="2" t="s">
        <v>488</v>
      </c>
      <c r="H151" s="5">
        <v>500.0</v>
      </c>
      <c r="J151" s="13"/>
      <c r="L151" s="13"/>
    </row>
    <row r="152">
      <c r="B152" s="2" t="s">
        <v>489</v>
      </c>
      <c r="D152" s="13"/>
      <c r="E152" s="5" t="s">
        <v>479</v>
      </c>
      <c r="F152" s="2" t="s">
        <v>490</v>
      </c>
      <c r="G152" s="2" t="s">
        <v>491</v>
      </c>
      <c r="H152" s="5" t="s">
        <v>461</v>
      </c>
      <c r="I152" s="2" t="s">
        <v>201</v>
      </c>
      <c r="J152" s="5" t="s">
        <v>492</v>
      </c>
      <c r="L152" s="13"/>
    </row>
    <row r="153">
      <c r="D153" s="13"/>
      <c r="E153" s="13"/>
      <c r="F153" s="2" t="s">
        <v>493</v>
      </c>
      <c r="G153" s="2" t="s">
        <v>494</v>
      </c>
      <c r="H153" s="5" t="s">
        <v>189</v>
      </c>
      <c r="I153" s="2" t="s">
        <v>205</v>
      </c>
      <c r="J153" s="5" t="s">
        <v>495</v>
      </c>
      <c r="L153" s="13"/>
    </row>
    <row r="154">
      <c r="D154" s="13"/>
      <c r="E154" s="13"/>
      <c r="F154" s="2" t="s">
        <v>496</v>
      </c>
      <c r="H154" s="5" t="s">
        <v>497</v>
      </c>
      <c r="I154" s="2" t="s">
        <v>208</v>
      </c>
      <c r="J154" s="5" t="s">
        <v>498</v>
      </c>
      <c r="L154" s="13"/>
    </row>
    <row r="155">
      <c r="D155" s="13"/>
      <c r="E155" s="13"/>
      <c r="F155" s="2" t="s">
        <v>243</v>
      </c>
      <c r="G155" s="2" t="s">
        <v>499</v>
      </c>
      <c r="H155" s="5" t="s">
        <v>500</v>
      </c>
      <c r="J155" s="13"/>
      <c r="L155" s="13"/>
    </row>
    <row r="156">
      <c r="D156" s="13"/>
      <c r="E156" s="13"/>
      <c r="F156" s="2" t="s">
        <v>501</v>
      </c>
      <c r="G156" s="2" t="s">
        <v>502</v>
      </c>
      <c r="H156" s="5">
        <v>400.0</v>
      </c>
      <c r="J156" s="13"/>
      <c r="L156" s="13"/>
    </row>
    <row r="157">
      <c r="D157" s="13"/>
      <c r="E157" s="13"/>
      <c r="F157" s="2" t="s">
        <v>503</v>
      </c>
      <c r="H157" s="5" t="s">
        <v>339</v>
      </c>
      <c r="J157" s="13"/>
      <c r="L157" s="13"/>
    </row>
    <row r="158">
      <c r="D158" s="13"/>
      <c r="E158" s="13"/>
      <c r="F158" s="2" t="s">
        <v>504</v>
      </c>
      <c r="G158" s="2" t="s">
        <v>277</v>
      </c>
      <c r="H158" s="5">
        <v>420.0</v>
      </c>
      <c r="I158" s="2" t="s">
        <v>213</v>
      </c>
      <c r="J158" s="5" t="s">
        <v>505</v>
      </c>
      <c r="L158" s="13"/>
    </row>
    <row r="159">
      <c r="D159" s="13"/>
      <c r="E159" s="13"/>
      <c r="F159" s="2" t="s">
        <v>506</v>
      </c>
      <c r="G159" s="2" t="s">
        <v>507</v>
      </c>
      <c r="H159" s="5">
        <v>376.0</v>
      </c>
      <c r="J159" s="13"/>
      <c r="L159" s="13"/>
    </row>
    <row r="160">
      <c r="D160" s="13"/>
      <c r="E160" s="13"/>
      <c r="F160" s="2" t="s">
        <v>508</v>
      </c>
      <c r="H160" s="5" t="s">
        <v>509</v>
      </c>
      <c r="J160" s="13"/>
      <c r="L160" s="13"/>
    </row>
    <row r="161">
      <c r="D161" s="13"/>
      <c r="E161" s="13"/>
      <c r="F161" s="2" t="s">
        <v>510</v>
      </c>
      <c r="H161" s="5">
        <v>200.0</v>
      </c>
      <c r="J161" s="13"/>
      <c r="L161" s="13"/>
    </row>
    <row r="162">
      <c r="D162" s="13"/>
      <c r="E162" s="13"/>
      <c r="G162" s="2" t="s">
        <v>201</v>
      </c>
      <c r="H162" s="5" t="s">
        <v>482</v>
      </c>
      <c r="J162" s="13"/>
      <c r="L162" s="13"/>
    </row>
    <row r="163">
      <c r="A163" s="2" t="s">
        <v>470</v>
      </c>
      <c r="B163" s="2" t="s">
        <v>162</v>
      </c>
      <c r="C163" s="2" t="s">
        <v>163</v>
      </c>
      <c r="D163" s="5" t="s">
        <v>8</v>
      </c>
      <c r="E163" s="5" t="s">
        <v>164</v>
      </c>
      <c r="F163" s="2" t="s">
        <v>165</v>
      </c>
      <c r="G163" s="2" t="s">
        <v>10</v>
      </c>
      <c r="H163" s="5" t="s">
        <v>164</v>
      </c>
      <c r="I163" s="2" t="s">
        <v>10</v>
      </c>
      <c r="J163" s="5" t="s">
        <v>164</v>
      </c>
      <c r="K163" s="2" t="s">
        <v>166</v>
      </c>
      <c r="L163" s="5" t="s">
        <v>164</v>
      </c>
    </row>
    <row r="164">
      <c r="A164" s="14">
        <v>46151.0</v>
      </c>
      <c r="B164" s="2" t="s">
        <v>511</v>
      </c>
      <c r="C164" s="2" t="s">
        <v>163</v>
      </c>
      <c r="D164" s="5">
        <v>3.58</v>
      </c>
      <c r="E164" s="5" t="s">
        <v>512</v>
      </c>
      <c r="F164" s="2" t="s">
        <v>169</v>
      </c>
      <c r="G164" s="2" t="s">
        <v>513</v>
      </c>
      <c r="H164" s="5" t="s">
        <v>514</v>
      </c>
      <c r="I164" s="2" t="s">
        <v>172</v>
      </c>
      <c r="J164" s="5" t="s">
        <v>173</v>
      </c>
      <c r="L164" s="13"/>
    </row>
    <row r="165">
      <c r="B165" s="2" t="s">
        <v>515</v>
      </c>
      <c r="C165" s="2" t="s">
        <v>163</v>
      </c>
      <c r="D165" s="5">
        <v>3.6</v>
      </c>
      <c r="E165" s="5" t="s">
        <v>516</v>
      </c>
      <c r="F165" s="2" t="s">
        <v>176</v>
      </c>
      <c r="G165" s="2" t="s">
        <v>517</v>
      </c>
      <c r="H165" s="5" t="s">
        <v>518</v>
      </c>
      <c r="I165" s="2" t="s">
        <v>225</v>
      </c>
      <c r="J165" s="5" t="s">
        <v>519</v>
      </c>
      <c r="L165" s="13"/>
    </row>
    <row r="166">
      <c r="B166" s="2" t="s">
        <v>520</v>
      </c>
      <c r="C166" s="2" t="s">
        <v>163</v>
      </c>
      <c r="D166" s="5">
        <v>3.6</v>
      </c>
      <c r="E166" s="5" t="s">
        <v>521</v>
      </c>
      <c r="F166" s="2" t="s">
        <v>183</v>
      </c>
      <c r="H166" s="5">
        <v>700.0</v>
      </c>
      <c r="I166" s="2" t="s">
        <v>229</v>
      </c>
      <c r="J166" s="5" t="s">
        <v>522</v>
      </c>
      <c r="L166" s="13"/>
    </row>
    <row r="167">
      <c r="B167" s="2" t="s">
        <v>523</v>
      </c>
      <c r="C167" s="2" t="s">
        <v>163</v>
      </c>
      <c r="D167" s="5">
        <v>3.55</v>
      </c>
      <c r="E167" s="5" t="s">
        <v>524</v>
      </c>
      <c r="F167" s="2" t="s">
        <v>188</v>
      </c>
      <c r="H167" s="5">
        <v>200.0</v>
      </c>
      <c r="I167" s="2" t="s">
        <v>166</v>
      </c>
      <c r="J167" s="5" t="s">
        <v>339</v>
      </c>
      <c r="L167" s="13"/>
    </row>
    <row r="168">
      <c r="D168" s="13"/>
      <c r="E168" s="5" t="s">
        <v>196</v>
      </c>
      <c r="F168" s="2" t="s">
        <v>525</v>
      </c>
      <c r="G168" s="2" t="s">
        <v>526</v>
      </c>
      <c r="H168" s="5">
        <v>400.0</v>
      </c>
      <c r="I168" s="2" t="s">
        <v>195</v>
      </c>
      <c r="J168" s="13"/>
      <c r="L168" s="13"/>
    </row>
    <row r="169">
      <c r="D169" s="13"/>
      <c r="E169" s="5" t="s">
        <v>196</v>
      </c>
      <c r="F169" s="2" t="s">
        <v>210</v>
      </c>
      <c r="H169" s="5">
        <v>200.0</v>
      </c>
      <c r="J169" s="13"/>
      <c r="L169" s="13"/>
    </row>
    <row r="170">
      <c r="B170" s="2" t="s">
        <v>527</v>
      </c>
      <c r="D170" s="13"/>
      <c r="E170" s="5" t="s">
        <v>519</v>
      </c>
      <c r="F170" s="2" t="s">
        <v>243</v>
      </c>
      <c r="H170" s="5">
        <v>750.0</v>
      </c>
      <c r="I170" s="2" t="s">
        <v>201</v>
      </c>
      <c r="J170" s="5" t="s">
        <v>528</v>
      </c>
      <c r="L170" s="13"/>
    </row>
    <row r="171">
      <c r="D171" s="13"/>
      <c r="E171" s="13"/>
      <c r="F171" s="2" t="s">
        <v>211</v>
      </c>
      <c r="H171" s="5" t="s">
        <v>468</v>
      </c>
      <c r="I171" s="2" t="s">
        <v>205</v>
      </c>
      <c r="J171" s="5" t="s">
        <v>529</v>
      </c>
      <c r="L171" s="13"/>
    </row>
    <row r="172">
      <c r="D172" s="13"/>
      <c r="E172" s="13"/>
      <c r="F172" s="2" t="s">
        <v>413</v>
      </c>
      <c r="H172" s="5">
        <v>220.0</v>
      </c>
      <c r="I172" s="2" t="s">
        <v>208</v>
      </c>
      <c r="J172" s="5" t="s">
        <v>530</v>
      </c>
      <c r="L172" s="13"/>
    </row>
    <row r="173">
      <c r="D173" s="13"/>
      <c r="E173" s="13"/>
      <c r="F173" s="2" t="s">
        <v>197</v>
      </c>
      <c r="H173" s="5" t="s">
        <v>531</v>
      </c>
      <c r="J173" s="13"/>
      <c r="L173" s="13"/>
    </row>
    <row r="174">
      <c r="D174" s="13"/>
      <c r="E174" s="13"/>
      <c r="F174" s="2" t="s">
        <v>210</v>
      </c>
      <c r="H174" s="5" t="s">
        <v>323</v>
      </c>
      <c r="J174" s="13"/>
      <c r="L174" s="13"/>
    </row>
    <row r="175">
      <c r="D175" s="13"/>
      <c r="E175" s="13"/>
      <c r="H175" s="13"/>
      <c r="J175" s="13"/>
      <c r="L175" s="13"/>
    </row>
    <row r="176">
      <c r="D176" s="13"/>
      <c r="E176" s="13"/>
      <c r="H176" s="13"/>
      <c r="I176" s="2" t="s">
        <v>213</v>
      </c>
      <c r="J176" s="5" t="s">
        <v>532</v>
      </c>
      <c r="L176" s="13"/>
    </row>
    <row r="177">
      <c r="D177" s="13"/>
      <c r="E177" s="13"/>
      <c r="H177" s="13"/>
      <c r="J177" s="13"/>
      <c r="L177" s="13"/>
    </row>
    <row r="178">
      <c r="D178" s="13"/>
      <c r="E178" s="13"/>
      <c r="H178" s="13"/>
      <c r="J178" s="13"/>
      <c r="L178" s="13"/>
    </row>
    <row r="179">
      <c r="D179" s="13"/>
      <c r="E179" s="13"/>
      <c r="H179" s="13"/>
      <c r="J179" s="13"/>
      <c r="L179" s="13"/>
    </row>
    <row r="180">
      <c r="D180" s="13"/>
      <c r="E180" s="13"/>
      <c r="G180" s="2" t="s">
        <v>201</v>
      </c>
      <c r="H180" s="5" t="s">
        <v>522</v>
      </c>
      <c r="J180" s="13"/>
      <c r="L180" s="13"/>
    </row>
    <row r="181">
      <c r="A181" s="2" t="s">
        <v>533</v>
      </c>
      <c r="B181" s="2" t="s">
        <v>215</v>
      </c>
      <c r="C181" s="2" t="s">
        <v>163</v>
      </c>
      <c r="D181" s="5" t="s">
        <v>8</v>
      </c>
      <c r="E181" s="5" t="s">
        <v>164</v>
      </c>
      <c r="F181" s="2" t="s">
        <v>216</v>
      </c>
      <c r="G181" s="2" t="s">
        <v>10</v>
      </c>
      <c r="H181" s="5" t="s">
        <v>164</v>
      </c>
      <c r="I181" s="2" t="s">
        <v>10</v>
      </c>
      <c r="J181" s="5" t="s">
        <v>164</v>
      </c>
      <c r="K181" s="2" t="s">
        <v>166</v>
      </c>
      <c r="L181" s="5" t="s">
        <v>164</v>
      </c>
    </row>
    <row r="182">
      <c r="A182" s="14">
        <v>46165.0</v>
      </c>
      <c r="B182" s="2" t="s">
        <v>534</v>
      </c>
      <c r="C182" s="2" t="s">
        <v>163</v>
      </c>
      <c r="D182" s="5">
        <v>3.47</v>
      </c>
      <c r="E182" s="5" t="s">
        <v>535</v>
      </c>
      <c r="F182" s="2" t="s">
        <v>169</v>
      </c>
      <c r="G182" s="2" t="s">
        <v>536</v>
      </c>
      <c r="H182" s="5" t="s">
        <v>537</v>
      </c>
      <c r="I182" s="2" t="s">
        <v>172</v>
      </c>
      <c r="J182" s="5" t="s">
        <v>538</v>
      </c>
      <c r="K182" s="2" t="s">
        <v>370</v>
      </c>
      <c r="L182" s="5" t="s">
        <v>339</v>
      </c>
    </row>
    <row r="183">
      <c r="B183" s="2" t="s">
        <v>539</v>
      </c>
      <c r="C183" s="2" t="s">
        <v>163</v>
      </c>
      <c r="D183" s="5">
        <v>3.27</v>
      </c>
      <c r="E183" s="5" t="s">
        <v>540</v>
      </c>
      <c r="F183" s="2" t="s">
        <v>176</v>
      </c>
      <c r="G183" s="2" t="s">
        <v>541</v>
      </c>
      <c r="H183" s="5" t="s">
        <v>542</v>
      </c>
      <c r="I183" s="2" t="s">
        <v>179</v>
      </c>
      <c r="J183" s="5" t="s">
        <v>543</v>
      </c>
      <c r="L183" s="13"/>
    </row>
    <row r="184">
      <c r="B184" s="2" t="s">
        <v>544</v>
      </c>
      <c r="C184" s="2" t="s">
        <v>163</v>
      </c>
      <c r="D184" s="5">
        <v>3.27</v>
      </c>
      <c r="E184" s="5" t="s">
        <v>545</v>
      </c>
      <c r="F184" s="2" t="s">
        <v>183</v>
      </c>
      <c r="H184" s="5">
        <v>700.0</v>
      </c>
      <c r="I184" s="2" t="s">
        <v>184</v>
      </c>
      <c r="J184" s="5" t="s">
        <v>546</v>
      </c>
      <c r="L184" s="13"/>
    </row>
    <row r="185">
      <c r="B185" s="2" t="s">
        <v>547</v>
      </c>
      <c r="C185" s="2" t="s">
        <v>163</v>
      </c>
      <c r="D185" s="5">
        <v>2.77</v>
      </c>
      <c r="E185" s="5" t="s">
        <v>548</v>
      </c>
      <c r="F185" s="2" t="s">
        <v>188</v>
      </c>
      <c r="H185" s="5">
        <v>200.0</v>
      </c>
      <c r="I185" s="2" t="s">
        <v>166</v>
      </c>
      <c r="J185" s="13"/>
      <c r="L185" s="13"/>
    </row>
    <row r="186">
      <c r="D186" s="13"/>
      <c r="E186" s="5" t="s">
        <v>196</v>
      </c>
      <c r="F186" s="2" t="s">
        <v>549</v>
      </c>
      <c r="H186" s="5" t="s">
        <v>550</v>
      </c>
      <c r="I186" s="2" t="s">
        <v>195</v>
      </c>
      <c r="J186" s="5" t="s">
        <v>339</v>
      </c>
      <c r="L186" s="13"/>
    </row>
    <row r="187">
      <c r="D187" s="13"/>
      <c r="E187" s="5" t="s">
        <v>196</v>
      </c>
      <c r="F187" s="2" t="s">
        <v>551</v>
      </c>
      <c r="H187" s="5" t="s">
        <v>552</v>
      </c>
      <c r="J187" s="13"/>
      <c r="L187" s="13"/>
    </row>
    <row r="188">
      <c r="B188" s="2" t="s">
        <v>553</v>
      </c>
      <c r="D188" s="13"/>
      <c r="E188" s="5" t="s">
        <v>543</v>
      </c>
      <c r="F188" s="2" t="s">
        <v>237</v>
      </c>
      <c r="G188" s="2" t="s">
        <v>554</v>
      </c>
      <c r="H188" s="5" t="s">
        <v>555</v>
      </c>
      <c r="I188" s="2" t="s">
        <v>201</v>
      </c>
      <c r="J188" s="5" t="s">
        <v>556</v>
      </c>
      <c r="L188" s="13"/>
    </row>
    <row r="189">
      <c r="D189" s="13"/>
      <c r="E189" s="13"/>
      <c r="F189" s="2" t="s">
        <v>503</v>
      </c>
      <c r="H189" s="5" t="s">
        <v>339</v>
      </c>
      <c r="I189" s="2" t="s">
        <v>205</v>
      </c>
      <c r="J189" s="5" t="s">
        <v>557</v>
      </c>
      <c r="L189" s="13"/>
    </row>
    <row r="190">
      <c r="D190" s="13"/>
      <c r="E190" s="13"/>
      <c r="F190" s="2" t="s">
        <v>413</v>
      </c>
      <c r="H190" s="5">
        <v>220.0</v>
      </c>
      <c r="I190" s="2" t="s">
        <v>208</v>
      </c>
      <c r="J190" s="5" t="s">
        <v>558</v>
      </c>
      <c r="L190" s="13"/>
    </row>
    <row r="191">
      <c r="D191" s="13"/>
      <c r="E191" s="13"/>
      <c r="F191" s="2" t="s">
        <v>559</v>
      </c>
      <c r="G191" s="2" t="s">
        <v>560</v>
      </c>
      <c r="H191" s="5">
        <v>500.0</v>
      </c>
      <c r="J191" s="13"/>
      <c r="L191" s="13"/>
    </row>
    <row r="192">
      <c r="D192" s="13"/>
      <c r="E192" s="13"/>
      <c r="H192" s="13"/>
      <c r="J192" s="13"/>
      <c r="L192" s="13"/>
    </row>
    <row r="193">
      <c r="D193" s="13"/>
      <c r="E193" s="13"/>
      <c r="H193" s="13"/>
      <c r="J193" s="13"/>
      <c r="L193" s="13"/>
    </row>
    <row r="194">
      <c r="D194" s="13"/>
      <c r="E194" s="13"/>
      <c r="H194" s="13"/>
      <c r="I194" s="2" t="s">
        <v>213</v>
      </c>
      <c r="J194" s="5" t="s">
        <v>561</v>
      </c>
      <c r="L194" s="13"/>
    </row>
    <row r="195">
      <c r="D195" s="13"/>
      <c r="E195" s="13"/>
      <c r="H195" s="13"/>
      <c r="J195" s="13"/>
      <c r="L195" s="13"/>
    </row>
    <row r="196">
      <c r="D196" s="13"/>
      <c r="E196" s="13"/>
      <c r="H196" s="13"/>
      <c r="J196" s="13"/>
      <c r="L196" s="13"/>
    </row>
    <row r="197">
      <c r="D197" s="13"/>
      <c r="E197" s="13"/>
      <c r="H197" s="13"/>
      <c r="J197" s="13"/>
      <c r="L197" s="13"/>
    </row>
    <row r="198">
      <c r="D198" s="13"/>
      <c r="E198" s="13"/>
      <c r="G198" s="2" t="s">
        <v>201</v>
      </c>
      <c r="H198" s="5" t="s">
        <v>546</v>
      </c>
      <c r="J198" s="13"/>
      <c r="L198" s="13"/>
    </row>
    <row r="199">
      <c r="A199" s="2" t="s">
        <v>533</v>
      </c>
      <c r="B199" s="2" t="s">
        <v>215</v>
      </c>
      <c r="C199" s="2" t="s">
        <v>163</v>
      </c>
      <c r="D199" s="5" t="s">
        <v>8</v>
      </c>
      <c r="E199" s="5" t="s">
        <v>164</v>
      </c>
      <c r="F199" s="2" t="s">
        <v>216</v>
      </c>
      <c r="G199" s="2" t="s">
        <v>10</v>
      </c>
      <c r="H199" s="5" t="s">
        <v>164</v>
      </c>
      <c r="I199" s="2" t="s">
        <v>10</v>
      </c>
      <c r="J199" s="5" t="s">
        <v>164</v>
      </c>
      <c r="K199" s="2" t="s">
        <v>166</v>
      </c>
      <c r="L199" s="5" t="s">
        <v>164</v>
      </c>
    </row>
    <row r="200">
      <c r="A200" s="14">
        <v>46179.0</v>
      </c>
      <c r="B200" s="2" t="s">
        <v>562</v>
      </c>
      <c r="C200" s="2" t="s">
        <v>163</v>
      </c>
      <c r="D200" s="5">
        <v>3.07</v>
      </c>
      <c r="E200" s="5" t="s">
        <v>563</v>
      </c>
      <c r="F200" s="2" t="s">
        <v>169</v>
      </c>
      <c r="G200" s="2" t="s">
        <v>564</v>
      </c>
      <c r="H200" s="5" t="s">
        <v>565</v>
      </c>
      <c r="I200" s="2" t="s">
        <v>172</v>
      </c>
      <c r="J200" s="5" t="s">
        <v>566</v>
      </c>
      <c r="L200" s="13"/>
    </row>
    <row r="201">
      <c r="B201" s="2" t="s">
        <v>567</v>
      </c>
      <c r="C201" s="2" t="s">
        <v>163</v>
      </c>
      <c r="D201" s="5">
        <v>3.4</v>
      </c>
      <c r="E201" s="5" t="s">
        <v>568</v>
      </c>
      <c r="F201" s="2" t="s">
        <v>176</v>
      </c>
      <c r="G201" s="2" t="s">
        <v>569</v>
      </c>
      <c r="H201" s="5" t="s">
        <v>570</v>
      </c>
      <c r="I201" s="2" t="s">
        <v>225</v>
      </c>
      <c r="J201" s="5" t="s">
        <v>571</v>
      </c>
      <c r="L201" s="13"/>
    </row>
    <row r="202">
      <c r="B202" s="2" t="s">
        <v>572</v>
      </c>
      <c r="C202" s="2" t="s">
        <v>163</v>
      </c>
      <c r="D202" s="5">
        <v>3.4</v>
      </c>
      <c r="E202" s="5" t="s">
        <v>573</v>
      </c>
      <c r="F202" s="2" t="s">
        <v>183</v>
      </c>
      <c r="H202" s="5">
        <v>700.0</v>
      </c>
      <c r="I202" s="2" t="s">
        <v>229</v>
      </c>
      <c r="J202" s="5" t="s">
        <v>574</v>
      </c>
      <c r="L202" s="13"/>
    </row>
    <row r="203">
      <c r="B203" s="2" t="s">
        <v>575</v>
      </c>
      <c r="C203" s="2" t="s">
        <v>163</v>
      </c>
      <c r="D203" s="5">
        <v>3.4</v>
      </c>
      <c r="E203" s="5" t="s">
        <v>576</v>
      </c>
      <c r="F203" s="2" t="s">
        <v>188</v>
      </c>
      <c r="H203" s="5">
        <v>200.0</v>
      </c>
      <c r="I203" s="2" t="s">
        <v>166</v>
      </c>
      <c r="J203" s="5" t="s">
        <v>577</v>
      </c>
      <c r="L203" s="13"/>
    </row>
    <row r="204">
      <c r="D204" s="13"/>
      <c r="E204" s="5" t="s">
        <v>196</v>
      </c>
      <c r="F204" s="2" t="s">
        <v>237</v>
      </c>
      <c r="G204" s="2" t="s">
        <v>578</v>
      </c>
      <c r="H204" s="5" t="s">
        <v>555</v>
      </c>
      <c r="I204" s="2" t="s">
        <v>195</v>
      </c>
      <c r="J204" s="13"/>
      <c r="L204" s="13"/>
    </row>
    <row r="205">
      <c r="D205" s="13"/>
      <c r="E205" s="5" t="s">
        <v>196</v>
      </c>
      <c r="F205" s="2" t="s">
        <v>200</v>
      </c>
      <c r="H205" s="5">
        <v>220.0</v>
      </c>
      <c r="J205" s="13"/>
      <c r="L205" s="13"/>
    </row>
    <row r="206">
      <c r="B206" s="2" t="s">
        <v>579</v>
      </c>
      <c r="D206" s="13"/>
      <c r="E206" s="5" t="s">
        <v>571</v>
      </c>
      <c r="F206" s="2" t="s">
        <v>580</v>
      </c>
      <c r="H206" s="5">
        <v>400.0</v>
      </c>
      <c r="I206" s="2" t="s">
        <v>201</v>
      </c>
      <c r="J206" s="5" t="s">
        <v>581</v>
      </c>
      <c r="L206" s="13"/>
    </row>
    <row r="207">
      <c r="D207" s="13"/>
      <c r="E207" s="13"/>
      <c r="F207" s="2" t="s">
        <v>582</v>
      </c>
      <c r="G207" s="2" t="s">
        <v>583</v>
      </c>
      <c r="H207" s="5" t="s">
        <v>584</v>
      </c>
      <c r="I207" s="2" t="s">
        <v>205</v>
      </c>
      <c r="J207" s="5" t="s">
        <v>585</v>
      </c>
      <c r="L207" s="13"/>
    </row>
    <row r="208">
      <c r="D208" s="13"/>
      <c r="E208" s="13"/>
      <c r="F208" s="2" t="s">
        <v>211</v>
      </c>
      <c r="H208" s="5" t="s">
        <v>586</v>
      </c>
      <c r="I208" s="2" t="s">
        <v>208</v>
      </c>
      <c r="J208" s="5" t="s">
        <v>587</v>
      </c>
      <c r="L208" s="13"/>
    </row>
    <row r="209">
      <c r="D209" s="13"/>
      <c r="E209" s="13"/>
      <c r="F209" s="2" t="s">
        <v>588</v>
      </c>
      <c r="H209" s="5">
        <v>200.0</v>
      </c>
      <c r="J209" s="13"/>
      <c r="L209" s="13"/>
    </row>
    <row r="210">
      <c r="D210" s="13"/>
      <c r="E210" s="13"/>
      <c r="H210" s="13"/>
      <c r="J210" s="13"/>
      <c r="L210" s="13"/>
    </row>
    <row r="211">
      <c r="D211" s="13"/>
      <c r="E211" s="13"/>
      <c r="H211" s="13"/>
      <c r="J211" s="13"/>
      <c r="L211" s="13"/>
    </row>
    <row r="212">
      <c r="D212" s="13"/>
      <c r="E212" s="13"/>
      <c r="H212" s="13"/>
      <c r="I212" s="2" t="s">
        <v>213</v>
      </c>
      <c r="J212" s="5" t="s">
        <v>589</v>
      </c>
      <c r="L212" s="13"/>
    </row>
    <row r="213">
      <c r="D213" s="13"/>
      <c r="E213" s="13"/>
      <c r="H213" s="13"/>
      <c r="J213" s="13"/>
      <c r="L213" s="13"/>
    </row>
    <row r="214">
      <c r="D214" s="13"/>
      <c r="E214" s="13"/>
      <c r="H214" s="13"/>
      <c r="J214" s="13"/>
      <c r="L214" s="13"/>
    </row>
    <row r="215">
      <c r="D215" s="13"/>
      <c r="E215" s="13"/>
      <c r="H215" s="13"/>
      <c r="J215" s="13"/>
      <c r="L215" s="13"/>
    </row>
    <row r="216">
      <c r="D216" s="13"/>
      <c r="E216" s="13"/>
      <c r="G216" s="2" t="s">
        <v>201</v>
      </c>
      <c r="H216" s="5" t="s">
        <v>574</v>
      </c>
      <c r="J216" s="13"/>
      <c r="L216" s="13"/>
    </row>
    <row r="217">
      <c r="A217" s="2" t="s">
        <v>590</v>
      </c>
      <c r="B217" s="2" t="s">
        <v>162</v>
      </c>
      <c r="C217" s="2" t="s">
        <v>163</v>
      </c>
      <c r="D217" s="5" t="s">
        <v>8</v>
      </c>
      <c r="E217" s="5" t="s">
        <v>164</v>
      </c>
      <c r="F217" s="2" t="s">
        <v>165</v>
      </c>
      <c r="G217" s="2" t="s">
        <v>10</v>
      </c>
      <c r="H217" s="5" t="s">
        <v>164</v>
      </c>
      <c r="I217" s="2" t="s">
        <v>10</v>
      </c>
      <c r="J217" s="5" t="s">
        <v>164</v>
      </c>
      <c r="K217" s="2" t="s">
        <v>166</v>
      </c>
      <c r="L217" s="5" t="s">
        <v>164</v>
      </c>
    </row>
    <row r="218">
      <c r="C218" s="2" t="s">
        <v>163</v>
      </c>
      <c r="D218" s="13"/>
      <c r="E218" s="5" t="s">
        <v>196</v>
      </c>
      <c r="F218" s="2" t="s">
        <v>169</v>
      </c>
      <c r="G218" s="2" t="s">
        <v>591</v>
      </c>
      <c r="H218" s="5" t="s">
        <v>209</v>
      </c>
      <c r="I218" s="2" t="s">
        <v>172</v>
      </c>
      <c r="J218" s="13"/>
      <c r="L218" s="13"/>
    </row>
    <row r="219">
      <c r="C219" s="2" t="s">
        <v>163</v>
      </c>
      <c r="D219" s="13"/>
      <c r="E219" s="5" t="s">
        <v>196</v>
      </c>
      <c r="F219" s="2" t="s">
        <v>176</v>
      </c>
      <c r="G219" s="2" t="s">
        <v>592</v>
      </c>
      <c r="H219" s="5" t="s">
        <v>209</v>
      </c>
      <c r="I219" s="2" t="s">
        <v>179</v>
      </c>
      <c r="J219" s="5" t="s">
        <v>209</v>
      </c>
      <c r="L219" s="13"/>
    </row>
    <row r="220">
      <c r="C220" s="2" t="s">
        <v>163</v>
      </c>
      <c r="D220" s="13"/>
      <c r="E220" s="5" t="s">
        <v>196</v>
      </c>
      <c r="F220" s="2" t="s">
        <v>183</v>
      </c>
      <c r="H220" s="13"/>
      <c r="I220" s="2" t="s">
        <v>184</v>
      </c>
      <c r="J220" s="13"/>
      <c r="L220" s="13"/>
    </row>
    <row r="221">
      <c r="C221" s="2" t="s">
        <v>163</v>
      </c>
      <c r="D221" s="13"/>
      <c r="E221" s="5" t="s">
        <v>196</v>
      </c>
      <c r="F221" s="2" t="s">
        <v>188</v>
      </c>
      <c r="H221" s="13"/>
      <c r="I221" s="2" t="s">
        <v>166</v>
      </c>
      <c r="J221" s="13"/>
      <c r="L221" s="13"/>
    </row>
    <row r="222">
      <c r="C222" s="2" t="s">
        <v>163</v>
      </c>
      <c r="D222" s="13"/>
      <c r="E222" s="5" t="s">
        <v>196</v>
      </c>
      <c r="H222" s="13"/>
      <c r="I222" s="2" t="s">
        <v>195</v>
      </c>
      <c r="J222" s="13"/>
      <c r="L222" s="13"/>
    </row>
    <row r="223">
      <c r="D223" s="13"/>
      <c r="E223" s="5" t="s">
        <v>196</v>
      </c>
      <c r="H223" s="13"/>
      <c r="J223" s="13"/>
      <c r="L223" s="13"/>
    </row>
    <row r="224">
      <c r="B224" s="2" t="s">
        <v>593</v>
      </c>
      <c r="D224" s="13"/>
      <c r="E224" s="5" t="s">
        <v>209</v>
      </c>
      <c r="H224" s="13"/>
      <c r="I224" s="2" t="s">
        <v>201</v>
      </c>
      <c r="J224" s="5" t="s">
        <v>209</v>
      </c>
      <c r="L224" s="13"/>
    </row>
    <row r="225">
      <c r="D225" s="13"/>
      <c r="E225" s="13"/>
      <c r="H225" s="13"/>
      <c r="I225" s="2" t="s">
        <v>205</v>
      </c>
      <c r="J225" s="13"/>
      <c r="L225" s="13"/>
    </row>
    <row r="226">
      <c r="D226" s="13"/>
      <c r="E226" s="13"/>
      <c r="H226" s="13"/>
      <c r="I226" s="2" t="s">
        <v>208</v>
      </c>
      <c r="J226" s="5" t="s">
        <v>209</v>
      </c>
      <c r="L226" s="13"/>
    </row>
    <row r="227">
      <c r="D227" s="13"/>
      <c r="E227" s="13"/>
      <c r="H227" s="13"/>
      <c r="J227" s="13"/>
      <c r="L227" s="13"/>
    </row>
    <row r="228">
      <c r="D228" s="13"/>
      <c r="E228" s="13"/>
      <c r="H228" s="13"/>
      <c r="J228" s="13"/>
      <c r="L228" s="13"/>
    </row>
    <row r="229">
      <c r="D229" s="13"/>
      <c r="E229" s="13"/>
      <c r="H229" s="13"/>
      <c r="J229" s="13"/>
      <c r="L229" s="13"/>
    </row>
    <row r="230">
      <c r="D230" s="13"/>
      <c r="E230" s="13"/>
      <c r="H230" s="13"/>
      <c r="I230" s="2" t="s">
        <v>213</v>
      </c>
      <c r="J230" s="5" t="s">
        <v>209</v>
      </c>
      <c r="L230" s="13"/>
    </row>
    <row r="231">
      <c r="D231" s="13"/>
      <c r="E231" s="13"/>
      <c r="H231" s="13"/>
      <c r="J231" s="13"/>
      <c r="L231" s="13"/>
    </row>
    <row r="232">
      <c r="D232" s="13"/>
      <c r="E232" s="13"/>
      <c r="H232" s="13"/>
      <c r="J232" s="13"/>
      <c r="L232" s="13"/>
    </row>
    <row r="233">
      <c r="D233" s="13"/>
      <c r="E233" s="13"/>
      <c r="H233" s="13"/>
      <c r="J233" s="13"/>
      <c r="L233" s="13"/>
    </row>
    <row r="234">
      <c r="D234" s="13"/>
      <c r="E234" s="13"/>
      <c r="G234" s="2" t="s">
        <v>201</v>
      </c>
      <c r="H234" s="5" t="s">
        <v>209</v>
      </c>
      <c r="J234" s="13"/>
      <c r="L234" s="13"/>
    </row>
    <row r="235">
      <c r="A235" s="2" t="s">
        <v>590</v>
      </c>
      <c r="B235" s="2" t="s">
        <v>215</v>
      </c>
      <c r="C235" s="2" t="s">
        <v>163</v>
      </c>
      <c r="D235" s="5" t="s">
        <v>8</v>
      </c>
      <c r="E235" s="5" t="s">
        <v>164</v>
      </c>
      <c r="F235" s="2" t="s">
        <v>216</v>
      </c>
      <c r="G235" s="2" t="s">
        <v>10</v>
      </c>
      <c r="H235" s="5" t="s">
        <v>164</v>
      </c>
      <c r="I235" s="2" t="s">
        <v>10</v>
      </c>
      <c r="J235" s="5" t="s">
        <v>164</v>
      </c>
      <c r="K235" s="2" t="s">
        <v>166</v>
      </c>
      <c r="L235" s="5" t="s">
        <v>164</v>
      </c>
    </row>
    <row r="236">
      <c r="C236" s="2" t="s">
        <v>163</v>
      </c>
      <c r="D236" s="13"/>
      <c r="E236" s="5" t="s">
        <v>196</v>
      </c>
      <c r="F236" s="2" t="s">
        <v>169</v>
      </c>
      <c r="G236" s="2" t="s">
        <v>591</v>
      </c>
      <c r="H236" s="5" t="s">
        <v>209</v>
      </c>
      <c r="I236" s="2" t="s">
        <v>172</v>
      </c>
      <c r="J236" s="13"/>
      <c r="L236" s="13"/>
    </row>
    <row r="237">
      <c r="C237" s="2" t="s">
        <v>163</v>
      </c>
      <c r="D237" s="13"/>
      <c r="E237" s="5" t="s">
        <v>196</v>
      </c>
      <c r="F237" s="2" t="s">
        <v>176</v>
      </c>
      <c r="G237" s="2" t="s">
        <v>592</v>
      </c>
      <c r="H237" s="5" t="s">
        <v>209</v>
      </c>
      <c r="I237" s="2" t="s">
        <v>225</v>
      </c>
      <c r="J237" s="5" t="s">
        <v>209</v>
      </c>
      <c r="L237" s="13"/>
    </row>
    <row r="238">
      <c r="C238" s="2" t="s">
        <v>163</v>
      </c>
      <c r="D238" s="13"/>
      <c r="E238" s="5" t="s">
        <v>196</v>
      </c>
      <c r="F238" s="2" t="s">
        <v>183</v>
      </c>
      <c r="H238" s="13"/>
      <c r="I238" s="2" t="s">
        <v>229</v>
      </c>
      <c r="J238" s="13"/>
      <c r="L238" s="13"/>
    </row>
    <row r="239">
      <c r="C239" s="2" t="s">
        <v>163</v>
      </c>
      <c r="D239" s="13"/>
      <c r="E239" s="5" t="s">
        <v>196</v>
      </c>
      <c r="F239" s="2" t="s">
        <v>188</v>
      </c>
      <c r="H239" s="13"/>
      <c r="I239" s="2" t="s">
        <v>166</v>
      </c>
      <c r="J239" s="13"/>
      <c r="L239" s="13"/>
    </row>
    <row r="240">
      <c r="C240" s="2" t="s">
        <v>163</v>
      </c>
      <c r="D240" s="13"/>
      <c r="E240" s="5" t="s">
        <v>196</v>
      </c>
      <c r="H240" s="13"/>
      <c r="I240" s="2" t="s">
        <v>195</v>
      </c>
      <c r="J240" s="13"/>
      <c r="L240" s="13"/>
    </row>
    <row r="241">
      <c r="D241" s="13"/>
      <c r="E241" s="5" t="s">
        <v>196</v>
      </c>
      <c r="H241" s="13"/>
      <c r="J241" s="13"/>
      <c r="L241" s="13"/>
    </row>
    <row r="242">
      <c r="B242" s="2" t="s">
        <v>593</v>
      </c>
      <c r="D242" s="13"/>
      <c r="E242" s="5" t="s">
        <v>209</v>
      </c>
      <c r="H242" s="13"/>
      <c r="I242" s="2" t="s">
        <v>201</v>
      </c>
      <c r="J242" s="5" t="s">
        <v>209</v>
      </c>
      <c r="L242" s="13"/>
    </row>
    <row r="243">
      <c r="D243" s="13"/>
      <c r="E243" s="13"/>
      <c r="H243" s="13"/>
      <c r="I243" s="2" t="s">
        <v>205</v>
      </c>
      <c r="J243" s="13"/>
      <c r="L243" s="13"/>
    </row>
    <row r="244">
      <c r="D244" s="13"/>
      <c r="E244" s="13"/>
      <c r="H244" s="13"/>
      <c r="I244" s="2" t="s">
        <v>208</v>
      </c>
      <c r="J244" s="5" t="s">
        <v>209</v>
      </c>
      <c r="L244" s="13"/>
    </row>
    <row r="245">
      <c r="D245" s="13"/>
      <c r="E245" s="13"/>
      <c r="H245" s="13"/>
      <c r="J245" s="13"/>
      <c r="L245" s="13"/>
    </row>
    <row r="246">
      <c r="D246" s="13"/>
      <c r="E246" s="13"/>
      <c r="H246" s="13"/>
      <c r="J246" s="13"/>
      <c r="L246" s="13"/>
    </row>
    <row r="247">
      <c r="D247" s="13"/>
      <c r="E247" s="13"/>
      <c r="H247" s="13"/>
      <c r="J247" s="13"/>
      <c r="L247" s="13"/>
    </row>
    <row r="248">
      <c r="D248" s="13"/>
      <c r="E248" s="13"/>
      <c r="H248" s="13"/>
      <c r="I248" s="2" t="s">
        <v>213</v>
      </c>
      <c r="J248" s="5" t="s">
        <v>209</v>
      </c>
      <c r="L248" s="13"/>
    </row>
    <row r="249">
      <c r="D249" s="13"/>
      <c r="E249" s="13"/>
      <c r="H249" s="13"/>
      <c r="J249" s="13"/>
      <c r="L249" s="13"/>
    </row>
    <row r="250">
      <c r="D250" s="13"/>
      <c r="E250" s="13"/>
      <c r="H250" s="13"/>
      <c r="J250" s="13"/>
      <c r="L250" s="13"/>
    </row>
    <row r="251">
      <c r="D251" s="13"/>
      <c r="E251" s="13"/>
      <c r="H251" s="13"/>
      <c r="J251" s="13"/>
      <c r="L251" s="13"/>
    </row>
    <row r="252">
      <c r="D252" s="13"/>
      <c r="E252" s="13"/>
      <c r="G252" s="2" t="s">
        <v>201</v>
      </c>
      <c r="H252" s="5" t="s">
        <v>209</v>
      </c>
      <c r="J252" s="13"/>
      <c r="L252" s="13"/>
    </row>
    <row r="253">
      <c r="A253" s="2" t="s">
        <v>594</v>
      </c>
      <c r="B253" s="2" t="s">
        <v>162</v>
      </c>
      <c r="C253" s="2" t="s">
        <v>163</v>
      </c>
      <c r="D253" s="5" t="s">
        <v>8</v>
      </c>
      <c r="E253" s="5" t="s">
        <v>164</v>
      </c>
      <c r="F253" s="2" t="s">
        <v>165</v>
      </c>
      <c r="G253" s="2" t="s">
        <v>10</v>
      </c>
      <c r="H253" s="5" t="s">
        <v>164</v>
      </c>
      <c r="I253" s="2" t="s">
        <v>10</v>
      </c>
      <c r="J253" s="5" t="s">
        <v>164</v>
      </c>
      <c r="K253" s="2" t="s">
        <v>166</v>
      </c>
      <c r="L253" s="5" t="s">
        <v>164</v>
      </c>
    </row>
    <row r="254">
      <c r="C254" s="2" t="s">
        <v>163</v>
      </c>
      <c r="D254" s="13"/>
      <c r="E254" s="5" t="s">
        <v>196</v>
      </c>
      <c r="F254" s="2" t="s">
        <v>169</v>
      </c>
      <c r="G254" s="2" t="s">
        <v>591</v>
      </c>
      <c r="H254" s="5" t="s">
        <v>209</v>
      </c>
      <c r="I254" s="2" t="s">
        <v>172</v>
      </c>
      <c r="J254" s="13"/>
      <c r="L254" s="13"/>
    </row>
    <row r="255">
      <c r="C255" s="2" t="s">
        <v>163</v>
      </c>
      <c r="D255" s="13"/>
      <c r="E255" s="5" t="s">
        <v>196</v>
      </c>
      <c r="F255" s="2" t="s">
        <v>176</v>
      </c>
      <c r="G255" s="2" t="s">
        <v>592</v>
      </c>
      <c r="H255" s="5" t="s">
        <v>209</v>
      </c>
      <c r="I255" s="2" t="s">
        <v>179</v>
      </c>
      <c r="J255" s="5" t="s">
        <v>209</v>
      </c>
      <c r="L255" s="13"/>
    </row>
    <row r="256">
      <c r="C256" s="2" t="s">
        <v>163</v>
      </c>
      <c r="D256" s="13"/>
      <c r="E256" s="5" t="s">
        <v>196</v>
      </c>
      <c r="F256" s="2" t="s">
        <v>183</v>
      </c>
      <c r="H256" s="13"/>
      <c r="I256" s="2" t="s">
        <v>184</v>
      </c>
      <c r="J256" s="13"/>
      <c r="L256" s="13"/>
    </row>
    <row r="257">
      <c r="C257" s="2" t="s">
        <v>163</v>
      </c>
      <c r="D257" s="13"/>
      <c r="E257" s="5" t="s">
        <v>196</v>
      </c>
      <c r="F257" s="2" t="s">
        <v>188</v>
      </c>
      <c r="H257" s="13"/>
      <c r="I257" s="2" t="s">
        <v>166</v>
      </c>
      <c r="J257" s="13"/>
      <c r="L257" s="13"/>
    </row>
    <row r="258">
      <c r="C258" s="2" t="s">
        <v>163</v>
      </c>
      <c r="D258" s="13"/>
      <c r="E258" s="5" t="s">
        <v>196</v>
      </c>
      <c r="H258" s="13"/>
      <c r="I258" s="2" t="s">
        <v>195</v>
      </c>
      <c r="J258" s="13"/>
      <c r="L258" s="13"/>
    </row>
    <row r="259">
      <c r="D259" s="13"/>
      <c r="E259" s="5" t="s">
        <v>196</v>
      </c>
      <c r="H259" s="13"/>
      <c r="J259" s="13"/>
      <c r="L259" s="13"/>
    </row>
    <row r="260">
      <c r="B260" s="2" t="s">
        <v>593</v>
      </c>
      <c r="D260" s="13"/>
      <c r="E260" s="5" t="s">
        <v>209</v>
      </c>
      <c r="H260" s="13"/>
      <c r="I260" s="2" t="s">
        <v>201</v>
      </c>
      <c r="J260" s="5" t="s">
        <v>209</v>
      </c>
      <c r="L260" s="13"/>
    </row>
    <row r="261">
      <c r="D261" s="13"/>
      <c r="E261" s="13"/>
      <c r="H261" s="13"/>
      <c r="I261" s="2" t="s">
        <v>205</v>
      </c>
      <c r="J261" s="13"/>
      <c r="L261" s="13"/>
    </row>
    <row r="262">
      <c r="D262" s="13"/>
      <c r="E262" s="13"/>
      <c r="H262" s="13"/>
      <c r="I262" s="2" t="s">
        <v>208</v>
      </c>
      <c r="J262" s="5" t="s">
        <v>209</v>
      </c>
      <c r="L262" s="13"/>
    </row>
    <row r="263">
      <c r="D263" s="13"/>
      <c r="E263" s="13"/>
      <c r="H263" s="13"/>
      <c r="J263" s="13"/>
      <c r="L263" s="13"/>
    </row>
    <row r="264">
      <c r="D264" s="13"/>
      <c r="E264" s="13"/>
      <c r="H264" s="13"/>
      <c r="J264" s="13"/>
      <c r="L264" s="13"/>
    </row>
    <row r="265">
      <c r="D265" s="13"/>
      <c r="E265" s="13"/>
      <c r="H265" s="13"/>
      <c r="J265" s="13"/>
      <c r="L265" s="13"/>
    </row>
    <row r="266">
      <c r="D266" s="13"/>
      <c r="E266" s="13"/>
      <c r="H266" s="13"/>
      <c r="I266" s="2" t="s">
        <v>213</v>
      </c>
      <c r="J266" s="5" t="s">
        <v>209</v>
      </c>
      <c r="L266" s="13"/>
    </row>
    <row r="267">
      <c r="D267" s="13"/>
      <c r="E267" s="13"/>
      <c r="H267" s="13"/>
      <c r="J267" s="13"/>
      <c r="L267" s="13"/>
    </row>
    <row r="268">
      <c r="D268" s="13"/>
      <c r="E268" s="13"/>
      <c r="H268" s="13"/>
      <c r="J268" s="13"/>
      <c r="L268" s="13"/>
    </row>
    <row r="269">
      <c r="D269" s="13"/>
      <c r="E269" s="13"/>
      <c r="H269" s="13"/>
      <c r="J269" s="13"/>
      <c r="L269" s="13"/>
    </row>
    <row r="270">
      <c r="D270" s="13"/>
      <c r="E270" s="13"/>
      <c r="G270" s="2" t="s">
        <v>201</v>
      </c>
      <c r="H270" s="5" t="s">
        <v>209</v>
      </c>
      <c r="J270" s="13"/>
      <c r="L270" s="13"/>
    </row>
    <row r="271">
      <c r="A271" s="2" t="s">
        <v>594</v>
      </c>
      <c r="B271" s="2" t="s">
        <v>215</v>
      </c>
      <c r="C271" s="2" t="s">
        <v>163</v>
      </c>
      <c r="D271" s="5" t="s">
        <v>8</v>
      </c>
      <c r="E271" s="5" t="s">
        <v>164</v>
      </c>
      <c r="F271" s="2" t="s">
        <v>216</v>
      </c>
      <c r="G271" s="2" t="s">
        <v>10</v>
      </c>
      <c r="H271" s="5" t="s">
        <v>164</v>
      </c>
      <c r="I271" s="2" t="s">
        <v>10</v>
      </c>
      <c r="J271" s="5" t="s">
        <v>164</v>
      </c>
      <c r="K271" s="2" t="s">
        <v>166</v>
      </c>
      <c r="L271" s="5" t="s">
        <v>164</v>
      </c>
    </row>
    <row r="272">
      <c r="C272" s="2" t="s">
        <v>163</v>
      </c>
      <c r="D272" s="13"/>
      <c r="E272" s="5" t="s">
        <v>196</v>
      </c>
      <c r="F272" s="2" t="s">
        <v>169</v>
      </c>
      <c r="G272" s="2" t="s">
        <v>591</v>
      </c>
      <c r="H272" s="5" t="s">
        <v>209</v>
      </c>
      <c r="I272" s="2" t="s">
        <v>172</v>
      </c>
      <c r="J272" s="13"/>
      <c r="L272" s="13"/>
    </row>
    <row r="273">
      <c r="C273" s="2" t="s">
        <v>163</v>
      </c>
      <c r="D273" s="13"/>
      <c r="E273" s="5" t="s">
        <v>196</v>
      </c>
      <c r="F273" s="2" t="s">
        <v>176</v>
      </c>
      <c r="G273" s="2" t="s">
        <v>592</v>
      </c>
      <c r="H273" s="5" t="s">
        <v>209</v>
      </c>
      <c r="I273" s="2" t="s">
        <v>225</v>
      </c>
      <c r="J273" s="5" t="s">
        <v>209</v>
      </c>
      <c r="L273" s="13"/>
    </row>
    <row r="274">
      <c r="C274" s="2" t="s">
        <v>163</v>
      </c>
      <c r="D274" s="13"/>
      <c r="E274" s="5" t="s">
        <v>196</v>
      </c>
      <c r="F274" s="2" t="s">
        <v>183</v>
      </c>
      <c r="H274" s="13"/>
      <c r="I274" s="2" t="s">
        <v>229</v>
      </c>
      <c r="J274" s="13"/>
      <c r="L274" s="13"/>
    </row>
    <row r="275">
      <c r="C275" s="2" t="s">
        <v>163</v>
      </c>
      <c r="D275" s="13"/>
      <c r="E275" s="5" t="s">
        <v>196</v>
      </c>
      <c r="F275" s="2" t="s">
        <v>188</v>
      </c>
      <c r="H275" s="13"/>
      <c r="I275" s="2" t="s">
        <v>166</v>
      </c>
      <c r="J275" s="13"/>
      <c r="L275" s="13"/>
    </row>
    <row r="276">
      <c r="C276" s="2" t="s">
        <v>163</v>
      </c>
      <c r="D276" s="13"/>
      <c r="E276" s="5" t="s">
        <v>196</v>
      </c>
      <c r="H276" s="13"/>
      <c r="I276" s="2" t="s">
        <v>195</v>
      </c>
      <c r="J276" s="13"/>
      <c r="L276" s="13"/>
    </row>
    <row r="277">
      <c r="D277" s="13"/>
      <c r="E277" s="5" t="s">
        <v>196</v>
      </c>
      <c r="H277" s="13"/>
      <c r="J277" s="13"/>
      <c r="L277" s="13"/>
    </row>
    <row r="278">
      <c r="B278" s="2" t="s">
        <v>593</v>
      </c>
      <c r="D278" s="13"/>
      <c r="E278" s="5" t="s">
        <v>209</v>
      </c>
      <c r="H278" s="13"/>
      <c r="I278" s="2" t="s">
        <v>201</v>
      </c>
      <c r="J278" s="5" t="s">
        <v>209</v>
      </c>
      <c r="L278" s="13"/>
    </row>
    <row r="279">
      <c r="D279" s="13"/>
      <c r="E279" s="13"/>
      <c r="H279" s="13"/>
      <c r="I279" s="2" t="s">
        <v>205</v>
      </c>
      <c r="J279" s="13"/>
      <c r="L279" s="13"/>
    </row>
    <row r="280">
      <c r="D280" s="13"/>
      <c r="E280" s="13"/>
      <c r="H280" s="13"/>
      <c r="I280" s="2" t="s">
        <v>208</v>
      </c>
      <c r="J280" s="5" t="s">
        <v>209</v>
      </c>
      <c r="L280" s="13"/>
    </row>
    <row r="281">
      <c r="D281" s="13"/>
      <c r="E281" s="13"/>
      <c r="H281" s="13"/>
      <c r="J281" s="13"/>
      <c r="L281" s="13"/>
    </row>
    <row r="282">
      <c r="D282" s="13"/>
      <c r="E282" s="13"/>
      <c r="H282" s="13"/>
      <c r="J282" s="13"/>
      <c r="L282" s="13"/>
    </row>
    <row r="283">
      <c r="D283" s="13"/>
      <c r="E283" s="13"/>
      <c r="H283" s="13"/>
      <c r="J283" s="13"/>
      <c r="L283" s="13"/>
    </row>
    <row r="284">
      <c r="D284" s="13"/>
      <c r="E284" s="13"/>
      <c r="H284" s="13"/>
      <c r="I284" s="2" t="s">
        <v>213</v>
      </c>
      <c r="J284" s="5" t="s">
        <v>209</v>
      </c>
      <c r="L284" s="13"/>
    </row>
    <row r="285">
      <c r="D285" s="13"/>
      <c r="E285" s="13"/>
      <c r="H285" s="13"/>
      <c r="J285" s="13"/>
      <c r="L285" s="13"/>
    </row>
    <row r="286">
      <c r="D286" s="13"/>
      <c r="E286" s="13"/>
      <c r="H286" s="13"/>
      <c r="J286" s="13"/>
      <c r="L286" s="13"/>
    </row>
    <row r="287">
      <c r="D287" s="13"/>
      <c r="E287" s="13"/>
      <c r="H287" s="13"/>
      <c r="J287" s="13"/>
      <c r="L287" s="13"/>
    </row>
    <row r="288">
      <c r="D288" s="13"/>
      <c r="E288" s="13"/>
      <c r="G288" s="2" t="s">
        <v>201</v>
      </c>
      <c r="H288" s="5" t="s">
        <v>209</v>
      </c>
      <c r="J288" s="13"/>
      <c r="L288" s="13"/>
    </row>
    <row r="289">
      <c r="A289" s="2" t="s">
        <v>595</v>
      </c>
      <c r="B289" s="2" t="s">
        <v>162</v>
      </c>
      <c r="C289" s="2" t="s">
        <v>163</v>
      </c>
      <c r="D289" s="5" t="s">
        <v>8</v>
      </c>
      <c r="E289" s="5" t="s">
        <v>164</v>
      </c>
      <c r="F289" s="2" t="s">
        <v>165</v>
      </c>
      <c r="G289" s="2" t="s">
        <v>10</v>
      </c>
      <c r="H289" s="5" t="s">
        <v>164</v>
      </c>
      <c r="I289" s="2" t="s">
        <v>10</v>
      </c>
      <c r="J289" s="5" t="s">
        <v>164</v>
      </c>
      <c r="K289" s="2" t="s">
        <v>166</v>
      </c>
      <c r="L289" s="5" t="s">
        <v>164</v>
      </c>
    </row>
    <row r="290">
      <c r="C290" s="2" t="s">
        <v>163</v>
      </c>
      <c r="D290" s="13"/>
      <c r="E290" s="5" t="s">
        <v>196</v>
      </c>
      <c r="F290" s="2" t="s">
        <v>169</v>
      </c>
      <c r="G290" s="2" t="s">
        <v>591</v>
      </c>
      <c r="H290" s="5" t="s">
        <v>209</v>
      </c>
      <c r="I290" s="2" t="s">
        <v>172</v>
      </c>
      <c r="J290" s="13"/>
      <c r="L290" s="13"/>
    </row>
    <row r="291">
      <c r="C291" s="2" t="s">
        <v>163</v>
      </c>
      <c r="D291" s="13"/>
      <c r="E291" s="5" t="s">
        <v>196</v>
      </c>
      <c r="F291" s="2" t="s">
        <v>176</v>
      </c>
      <c r="G291" s="2" t="s">
        <v>592</v>
      </c>
      <c r="H291" s="5" t="s">
        <v>209</v>
      </c>
      <c r="I291" s="2" t="s">
        <v>179</v>
      </c>
      <c r="J291" s="5" t="s">
        <v>209</v>
      </c>
      <c r="L291" s="13"/>
    </row>
    <row r="292">
      <c r="C292" s="2" t="s">
        <v>163</v>
      </c>
      <c r="D292" s="13"/>
      <c r="E292" s="5" t="s">
        <v>196</v>
      </c>
      <c r="F292" s="2" t="s">
        <v>183</v>
      </c>
      <c r="H292" s="13"/>
      <c r="I292" s="2" t="s">
        <v>184</v>
      </c>
      <c r="J292" s="13"/>
      <c r="L292" s="13"/>
    </row>
    <row r="293">
      <c r="C293" s="2" t="s">
        <v>163</v>
      </c>
      <c r="D293" s="13"/>
      <c r="E293" s="5" t="s">
        <v>196</v>
      </c>
      <c r="F293" s="2" t="s">
        <v>188</v>
      </c>
      <c r="H293" s="13"/>
      <c r="I293" s="2" t="s">
        <v>166</v>
      </c>
      <c r="J293" s="13"/>
      <c r="L293" s="13"/>
    </row>
    <row r="294">
      <c r="C294" s="2" t="s">
        <v>163</v>
      </c>
      <c r="D294" s="13"/>
      <c r="E294" s="5" t="s">
        <v>196</v>
      </c>
      <c r="H294" s="13"/>
      <c r="I294" s="2" t="s">
        <v>195</v>
      </c>
      <c r="J294" s="13"/>
      <c r="L294" s="13"/>
    </row>
    <row r="295">
      <c r="D295" s="13"/>
      <c r="E295" s="5" t="s">
        <v>196</v>
      </c>
      <c r="H295" s="13"/>
      <c r="J295" s="13"/>
      <c r="L295" s="13"/>
    </row>
    <row r="296">
      <c r="B296" s="2" t="s">
        <v>593</v>
      </c>
      <c r="D296" s="13"/>
      <c r="E296" s="5" t="s">
        <v>209</v>
      </c>
      <c r="H296" s="13"/>
      <c r="I296" s="2" t="s">
        <v>201</v>
      </c>
      <c r="J296" s="5" t="s">
        <v>209</v>
      </c>
      <c r="L296" s="13"/>
    </row>
    <row r="297">
      <c r="D297" s="13"/>
      <c r="E297" s="13"/>
      <c r="H297" s="13"/>
      <c r="I297" s="2" t="s">
        <v>205</v>
      </c>
      <c r="J297" s="13"/>
      <c r="L297" s="13"/>
    </row>
    <row r="298">
      <c r="D298" s="13"/>
      <c r="E298" s="13"/>
      <c r="H298" s="13"/>
      <c r="I298" s="2" t="s">
        <v>208</v>
      </c>
      <c r="J298" s="5" t="s">
        <v>209</v>
      </c>
      <c r="L298" s="13"/>
    </row>
    <row r="299">
      <c r="D299" s="13"/>
      <c r="E299" s="13"/>
      <c r="H299" s="13"/>
      <c r="J299" s="13"/>
      <c r="L299" s="13"/>
    </row>
    <row r="300">
      <c r="D300" s="13"/>
      <c r="E300" s="13"/>
      <c r="H300" s="13"/>
      <c r="J300" s="13"/>
      <c r="L300" s="13"/>
    </row>
    <row r="301">
      <c r="D301" s="13"/>
      <c r="E301" s="13"/>
      <c r="H301" s="13"/>
      <c r="J301" s="13"/>
      <c r="L301" s="13"/>
    </row>
    <row r="302">
      <c r="D302" s="13"/>
      <c r="E302" s="13"/>
      <c r="H302" s="13"/>
      <c r="I302" s="2" t="s">
        <v>213</v>
      </c>
      <c r="J302" s="5" t="s">
        <v>209</v>
      </c>
      <c r="L302" s="13"/>
    </row>
    <row r="303">
      <c r="D303" s="13"/>
      <c r="E303" s="13"/>
      <c r="H303" s="13"/>
      <c r="J303" s="13"/>
      <c r="L303" s="13"/>
    </row>
    <row r="304">
      <c r="D304" s="13"/>
      <c r="E304" s="13"/>
      <c r="H304" s="13"/>
      <c r="J304" s="13"/>
      <c r="L304" s="13"/>
    </row>
    <row r="305">
      <c r="D305" s="13"/>
      <c r="E305" s="13"/>
      <c r="H305" s="13"/>
      <c r="J305" s="13"/>
      <c r="L305" s="13"/>
    </row>
    <row r="306">
      <c r="D306" s="13"/>
      <c r="E306" s="13"/>
      <c r="G306" s="2" t="s">
        <v>201</v>
      </c>
      <c r="H306" s="5" t="s">
        <v>209</v>
      </c>
      <c r="J306" s="13"/>
      <c r="L306" s="13"/>
    </row>
    <row r="307">
      <c r="A307" s="2" t="s">
        <v>595</v>
      </c>
      <c r="B307" s="2" t="s">
        <v>215</v>
      </c>
      <c r="C307" s="2" t="s">
        <v>163</v>
      </c>
      <c r="D307" s="5" t="s">
        <v>8</v>
      </c>
      <c r="E307" s="5" t="s">
        <v>164</v>
      </c>
      <c r="F307" s="2" t="s">
        <v>216</v>
      </c>
      <c r="G307" s="2" t="s">
        <v>10</v>
      </c>
      <c r="H307" s="5" t="s">
        <v>164</v>
      </c>
      <c r="I307" s="2" t="s">
        <v>10</v>
      </c>
      <c r="J307" s="5" t="s">
        <v>164</v>
      </c>
      <c r="K307" s="2" t="s">
        <v>166</v>
      </c>
      <c r="L307" s="5" t="s">
        <v>164</v>
      </c>
    </row>
    <row r="308">
      <c r="C308" s="2" t="s">
        <v>163</v>
      </c>
      <c r="D308" s="13"/>
      <c r="E308" s="5" t="s">
        <v>196</v>
      </c>
      <c r="F308" s="2" t="s">
        <v>169</v>
      </c>
      <c r="G308" s="2" t="s">
        <v>591</v>
      </c>
      <c r="H308" s="5" t="s">
        <v>209</v>
      </c>
      <c r="I308" s="2" t="s">
        <v>172</v>
      </c>
      <c r="J308" s="13"/>
      <c r="L308" s="13"/>
    </row>
    <row r="309">
      <c r="C309" s="2" t="s">
        <v>163</v>
      </c>
      <c r="D309" s="13"/>
      <c r="E309" s="5" t="s">
        <v>196</v>
      </c>
      <c r="F309" s="2" t="s">
        <v>176</v>
      </c>
      <c r="G309" s="2" t="s">
        <v>592</v>
      </c>
      <c r="H309" s="5" t="s">
        <v>209</v>
      </c>
      <c r="I309" s="2" t="s">
        <v>225</v>
      </c>
      <c r="J309" s="5" t="s">
        <v>209</v>
      </c>
      <c r="L309" s="13"/>
    </row>
    <row r="310">
      <c r="C310" s="2" t="s">
        <v>163</v>
      </c>
      <c r="D310" s="13"/>
      <c r="E310" s="5" t="s">
        <v>196</v>
      </c>
      <c r="F310" s="2" t="s">
        <v>183</v>
      </c>
      <c r="H310" s="13"/>
      <c r="I310" s="2" t="s">
        <v>229</v>
      </c>
      <c r="J310" s="13"/>
      <c r="L310" s="13"/>
    </row>
    <row r="311">
      <c r="C311" s="2" t="s">
        <v>163</v>
      </c>
      <c r="D311" s="13"/>
      <c r="E311" s="5" t="s">
        <v>196</v>
      </c>
      <c r="F311" s="2" t="s">
        <v>188</v>
      </c>
      <c r="H311" s="13"/>
      <c r="I311" s="2" t="s">
        <v>166</v>
      </c>
      <c r="J311" s="13"/>
      <c r="L311" s="13"/>
    </row>
    <row r="312">
      <c r="C312" s="2" t="s">
        <v>163</v>
      </c>
      <c r="D312" s="13"/>
      <c r="E312" s="5" t="s">
        <v>196</v>
      </c>
      <c r="H312" s="13"/>
      <c r="I312" s="2" t="s">
        <v>195</v>
      </c>
      <c r="J312" s="13"/>
      <c r="L312" s="13"/>
    </row>
    <row r="313">
      <c r="D313" s="13"/>
      <c r="E313" s="5" t="s">
        <v>196</v>
      </c>
      <c r="H313" s="13"/>
      <c r="J313" s="13"/>
      <c r="L313" s="13"/>
    </row>
    <row r="314">
      <c r="B314" s="2" t="s">
        <v>593</v>
      </c>
      <c r="D314" s="13"/>
      <c r="E314" s="5" t="s">
        <v>209</v>
      </c>
      <c r="H314" s="13"/>
      <c r="I314" s="2" t="s">
        <v>201</v>
      </c>
      <c r="J314" s="5" t="s">
        <v>209</v>
      </c>
      <c r="L314" s="13"/>
    </row>
    <row r="315">
      <c r="D315" s="13"/>
      <c r="E315" s="13"/>
      <c r="H315" s="13"/>
      <c r="I315" s="2" t="s">
        <v>205</v>
      </c>
      <c r="J315" s="13"/>
      <c r="L315" s="13"/>
    </row>
    <row r="316">
      <c r="D316" s="13"/>
      <c r="E316" s="13"/>
      <c r="H316" s="13"/>
      <c r="I316" s="2" t="s">
        <v>208</v>
      </c>
      <c r="J316" s="5" t="s">
        <v>209</v>
      </c>
      <c r="L316" s="13"/>
    </row>
    <row r="317">
      <c r="D317" s="13"/>
      <c r="E317" s="13"/>
      <c r="H317" s="13"/>
      <c r="J317" s="13"/>
      <c r="L317" s="13"/>
    </row>
    <row r="318">
      <c r="D318" s="13"/>
      <c r="E318" s="13"/>
      <c r="H318" s="13"/>
      <c r="J318" s="13"/>
      <c r="L318" s="13"/>
    </row>
    <row r="319">
      <c r="D319" s="13"/>
      <c r="E319" s="13"/>
      <c r="H319" s="13"/>
      <c r="J319" s="13"/>
      <c r="L319" s="13"/>
    </row>
    <row r="320">
      <c r="D320" s="13"/>
      <c r="E320" s="13"/>
      <c r="H320" s="13"/>
      <c r="I320" s="2" t="s">
        <v>213</v>
      </c>
      <c r="J320" s="5" t="s">
        <v>209</v>
      </c>
      <c r="L320" s="13"/>
    </row>
    <row r="321">
      <c r="D321" s="13"/>
      <c r="E321" s="13"/>
      <c r="H321" s="13"/>
      <c r="J321" s="13"/>
      <c r="L321" s="13"/>
    </row>
    <row r="322">
      <c r="D322" s="13"/>
      <c r="E322" s="13"/>
      <c r="H322" s="13"/>
      <c r="J322" s="13"/>
      <c r="L322" s="13"/>
    </row>
    <row r="323">
      <c r="D323" s="13"/>
      <c r="E323" s="13"/>
      <c r="H323" s="13"/>
      <c r="J323" s="13"/>
      <c r="L323" s="13"/>
    </row>
    <row r="324">
      <c r="D324" s="13"/>
      <c r="E324" s="13"/>
      <c r="G324" s="2" t="s">
        <v>201</v>
      </c>
      <c r="H324" s="5" t="s">
        <v>209</v>
      </c>
      <c r="J324" s="13"/>
      <c r="L324" s="13"/>
    </row>
    <row r="325">
      <c r="A325" s="2" t="s">
        <v>596</v>
      </c>
      <c r="B325" s="2" t="s">
        <v>162</v>
      </c>
      <c r="C325" s="2" t="s">
        <v>163</v>
      </c>
      <c r="D325" s="5" t="s">
        <v>8</v>
      </c>
      <c r="E325" s="5" t="s">
        <v>164</v>
      </c>
      <c r="F325" s="2" t="s">
        <v>165</v>
      </c>
      <c r="G325" s="2" t="s">
        <v>10</v>
      </c>
      <c r="H325" s="5" t="s">
        <v>164</v>
      </c>
      <c r="I325" s="2" t="s">
        <v>10</v>
      </c>
      <c r="J325" s="5" t="s">
        <v>164</v>
      </c>
      <c r="K325" s="2" t="s">
        <v>166</v>
      </c>
      <c r="L325" s="5" t="s">
        <v>164</v>
      </c>
    </row>
    <row r="326">
      <c r="C326" s="2" t="s">
        <v>163</v>
      </c>
      <c r="D326" s="13"/>
      <c r="E326" s="5" t="s">
        <v>196</v>
      </c>
      <c r="F326" s="2" t="s">
        <v>169</v>
      </c>
      <c r="G326" s="2" t="s">
        <v>591</v>
      </c>
      <c r="H326" s="5" t="s">
        <v>209</v>
      </c>
      <c r="I326" s="2" t="s">
        <v>172</v>
      </c>
      <c r="J326" s="13"/>
      <c r="L326" s="13"/>
    </row>
    <row r="327">
      <c r="C327" s="2" t="s">
        <v>163</v>
      </c>
      <c r="D327" s="13"/>
      <c r="E327" s="5" t="s">
        <v>196</v>
      </c>
      <c r="F327" s="2" t="s">
        <v>176</v>
      </c>
      <c r="G327" s="2" t="s">
        <v>592</v>
      </c>
      <c r="H327" s="5" t="s">
        <v>209</v>
      </c>
      <c r="I327" s="2" t="s">
        <v>179</v>
      </c>
      <c r="J327" s="5" t="s">
        <v>209</v>
      </c>
      <c r="L327" s="13"/>
    </row>
    <row r="328">
      <c r="C328" s="2" t="s">
        <v>163</v>
      </c>
      <c r="D328" s="13"/>
      <c r="E328" s="5" t="s">
        <v>196</v>
      </c>
      <c r="F328" s="2" t="s">
        <v>183</v>
      </c>
      <c r="H328" s="13"/>
      <c r="I328" s="2" t="s">
        <v>184</v>
      </c>
      <c r="J328" s="13"/>
      <c r="L328" s="13"/>
    </row>
    <row r="329">
      <c r="C329" s="2" t="s">
        <v>163</v>
      </c>
      <c r="D329" s="13"/>
      <c r="E329" s="5" t="s">
        <v>196</v>
      </c>
      <c r="F329" s="2" t="s">
        <v>188</v>
      </c>
      <c r="H329" s="13"/>
      <c r="I329" s="2" t="s">
        <v>166</v>
      </c>
      <c r="J329" s="13"/>
      <c r="L329" s="13"/>
    </row>
    <row r="330">
      <c r="C330" s="2" t="s">
        <v>163</v>
      </c>
      <c r="D330" s="13"/>
      <c r="E330" s="5" t="s">
        <v>196</v>
      </c>
      <c r="H330" s="13"/>
      <c r="I330" s="2" t="s">
        <v>195</v>
      </c>
      <c r="J330" s="13"/>
      <c r="L330" s="13"/>
    </row>
    <row r="331">
      <c r="D331" s="13"/>
      <c r="E331" s="5" t="s">
        <v>196</v>
      </c>
      <c r="H331" s="13"/>
      <c r="J331" s="13"/>
      <c r="L331" s="13"/>
    </row>
    <row r="332">
      <c r="B332" s="2" t="s">
        <v>593</v>
      </c>
      <c r="D332" s="13"/>
      <c r="E332" s="5" t="s">
        <v>209</v>
      </c>
      <c r="H332" s="13"/>
      <c r="I332" s="2" t="s">
        <v>201</v>
      </c>
      <c r="J332" s="5" t="s">
        <v>209</v>
      </c>
      <c r="L332" s="13"/>
    </row>
    <row r="333">
      <c r="D333" s="13"/>
      <c r="E333" s="13"/>
      <c r="H333" s="13"/>
      <c r="I333" s="2" t="s">
        <v>205</v>
      </c>
      <c r="J333" s="13"/>
      <c r="L333" s="13"/>
    </row>
    <row r="334">
      <c r="D334" s="13"/>
      <c r="E334" s="13"/>
      <c r="H334" s="13"/>
      <c r="I334" s="2" t="s">
        <v>208</v>
      </c>
      <c r="J334" s="5" t="s">
        <v>209</v>
      </c>
      <c r="L334" s="13"/>
    </row>
    <row r="335">
      <c r="D335" s="13"/>
      <c r="E335" s="13"/>
      <c r="H335" s="13"/>
      <c r="J335" s="13"/>
      <c r="L335" s="13"/>
    </row>
    <row r="336">
      <c r="D336" s="13"/>
      <c r="E336" s="13"/>
      <c r="H336" s="13"/>
      <c r="J336" s="13"/>
      <c r="L336" s="13"/>
    </row>
    <row r="337">
      <c r="D337" s="13"/>
      <c r="E337" s="13"/>
      <c r="H337" s="13"/>
      <c r="J337" s="13"/>
      <c r="L337" s="13"/>
    </row>
    <row r="338">
      <c r="D338" s="13"/>
      <c r="E338" s="13"/>
      <c r="H338" s="13"/>
      <c r="I338" s="2" t="s">
        <v>213</v>
      </c>
      <c r="J338" s="5" t="s">
        <v>209</v>
      </c>
      <c r="L338" s="13"/>
    </row>
    <row r="339">
      <c r="D339" s="13"/>
      <c r="E339" s="13"/>
      <c r="H339" s="13"/>
      <c r="J339" s="13"/>
      <c r="L339" s="13"/>
    </row>
    <row r="340">
      <c r="D340" s="13"/>
      <c r="E340" s="13"/>
      <c r="H340" s="13"/>
      <c r="J340" s="13"/>
      <c r="L340" s="13"/>
    </row>
    <row r="341">
      <c r="D341" s="13"/>
      <c r="E341" s="13"/>
      <c r="H341" s="13"/>
      <c r="J341" s="13"/>
      <c r="L341" s="13"/>
    </row>
    <row r="342">
      <c r="D342" s="13"/>
      <c r="E342" s="13"/>
      <c r="G342" s="2" t="s">
        <v>201</v>
      </c>
      <c r="H342" s="5" t="s">
        <v>209</v>
      </c>
      <c r="J342" s="13"/>
      <c r="L342" s="13"/>
    </row>
    <row r="343">
      <c r="A343" s="2" t="s">
        <v>596</v>
      </c>
      <c r="B343" s="2" t="s">
        <v>215</v>
      </c>
      <c r="C343" s="2" t="s">
        <v>163</v>
      </c>
      <c r="D343" s="5" t="s">
        <v>8</v>
      </c>
      <c r="E343" s="5" t="s">
        <v>164</v>
      </c>
      <c r="F343" s="2" t="s">
        <v>216</v>
      </c>
      <c r="G343" s="2" t="s">
        <v>10</v>
      </c>
      <c r="H343" s="5" t="s">
        <v>164</v>
      </c>
      <c r="I343" s="2" t="s">
        <v>10</v>
      </c>
      <c r="J343" s="5" t="s">
        <v>164</v>
      </c>
      <c r="K343" s="2" t="s">
        <v>166</v>
      </c>
      <c r="L343" s="5" t="s">
        <v>164</v>
      </c>
    </row>
    <row r="344">
      <c r="C344" s="2" t="s">
        <v>163</v>
      </c>
      <c r="D344" s="13"/>
      <c r="E344" s="5" t="s">
        <v>196</v>
      </c>
      <c r="F344" s="2" t="s">
        <v>169</v>
      </c>
      <c r="G344" s="2" t="s">
        <v>591</v>
      </c>
      <c r="H344" s="5" t="s">
        <v>209</v>
      </c>
      <c r="I344" s="2" t="s">
        <v>172</v>
      </c>
      <c r="J344" s="13"/>
      <c r="L344" s="13"/>
    </row>
    <row r="345">
      <c r="C345" s="2" t="s">
        <v>163</v>
      </c>
      <c r="D345" s="13"/>
      <c r="E345" s="5" t="s">
        <v>196</v>
      </c>
      <c r="F345" s="2" t="s">
        <v>176</v>
      </c>
      <c r="G345" s="2" t="s">
        <v>592</v>
      </c>
      <c r="H345" s="5" t="s">
        <v>209</v>
      </c>
      <c r="I345" s="2" t="s">
        <v>225</v>
      </c>
      <c r="J345" s="5" t="s">
        <v>209</v>
      </c>
      <c r="L345" s="13"/>
    </row>
    <row r="346">
      <c r="C346" s="2" t="s">
        <v>163</v>
      </c>
      <c r="D346" s="13"/>
      <c r="E346" s="5" t="s">
        <v>196</v>
      </c>
      <c r="F346" s="2" t="s">
        <v>183</v>
      </c>
      <c r="H346" s="13"/>
      <c r="I346" s="2" t="s">
        <v>229</v>
      </c>
      <c r="J346" s="13"/>
      <c r="L346" s="13"/>
    </row>
    <row r="347">
      <c r="C347" s="2" t="s">
        <v>163</v>
      </c>
      <c r="D347" s="13"/>
      <c r="E347" s="5" t="s">
        <v>196</v>
      </c>
      <c r="F347" s="2" t="s">
        <v>188</v>
      </c>
      <c r="H347" s="13"/>
      <c r="I347" s="2" t="s">
        <v>166</v>
      </c>
      <c r="J347" s="13"/>
      <c r="L347" s="13"/>
    </row>
    <row r="348">
      <c r="C348" s="2" t="s">
        <v>163</v>
      </c>
      <c r="D348" s="13"/>
      <c r="E348" s="5" t="s">
        <v>196</v>
      </c>
      <c r="H348" s="13"/>
      <c r="I348" s="2" t="s">
        <v>195</v>
      </c>
      <c r="J348" s="13"/>
      <c r="L348" s="13"/>
    </row>
    <row r="349">
      <c r="D349" s="13"/>
      <c r="E349" s="5" t="s">
        <v>196</v>
      </c>
      <c r="H349" s="13"/>
      <c r="J349" s="13"/>
      <c r="L349" s="13"/>
    </row>
    <row r="350">
      <c r="B350" s="2" t="s">
        <v>593</v>
      </c>
      <c r="D350" s="13"/>
      <c r="E350" s="5" t="s">
        <v>209</v>
      </c>
      <c r="H350" s="13"/>
      <c r="I350" s="2" t="s">
        <v>201</v>
      </c>
      <c r="J350" s="5" t="s">
        <v>209</v>
      </c>
      <c r="L350" s="13"/>
    </row>
    <row r="351">
      <c r="D351" s="13"/>
      <c r="E351" s="13"/>
      <c r="H351" s="13"/>
      <c r="I351" s="2" t="s">
        <v>205</v>
      </c>
      <c r="J351" s="13"/>
      <c r="L351" s="13"/>
    </row>
    <row r="352">
      <c r="D352" s="13"/>
      <c r="E352" s="13"/>
      <c r="H352" s="13"/>
      <c r="I352" s="2" t="s">
        <v>208</v>
      </c>
      <c r="J352" s="5" t="s">
        <v>209</v>
      </c>
      <c r="L352" s="13"/>
    </row>
    <row r="353">
      <c r="D353" s="13"/>
      <c r="E353" s="13"/>
      <c r="H353" s="13"/>
      <c r="J353" s="13"/>
      <c r="L353" s="13"/>
    </row>
    <row r="354">
      <c r="D354" s="13"/>
      <c r="E354" s="13"/>
      <c r="H354" s="13"/>
      <c r="J354" s="13"/>
      <c r="L354" s="13"/>
    </row>
    <row r="355">
      <c r="D355" s="13"/>
      <c r="E355" s="13"/>
      <c r="H355" s="13"/>
      <c r="J355" s="13"/>
      <c r="L355" s="13"/>
    </row>
    <row r="356">
      <c r="D356" s="13"/>
      <c r="E356" s="13"/>
      <c r="H356" s="13"/>
      <c r="I356" s="2" t="s">
        <v>213</v>
      </c>
      <c r="J356" s="5" t="s">
        <v>209</v>
      </c>
      <c r="L356" s="13"/>
    </row>
    <row r="357">
      <c r="D357" s="13"/>
      <c r="E357" s="13"/>
      <c r="H357" s="13"/>
      <c r="J357" s="13"/>
      <c r="L357" s="13"/>
    </row>
    <row r="358">
      <c r="D358" s="13"/>
      <c r="E358" s="13"/>
      <c r="H358" s="13"/>
      <c r="J358" s="13"/>
      <c r="L358" s="13"/>
    </row>
    <row r="359">
      <c r="D359" s="13"/>
      <c r="E359" s="13"/>
      <c r="H359" s="13"/>
      <c r="J359" s="13"/>
      <c r="L359" s="13"/>
    </row>
    <row r="360">
      <c r="D360" s="13"/>
      <c r="E360" s="13"/>
      <c r="G360" s="2" t="s">
        <v>201</v>
      </c>
      <c r="H360" s="5" t="s">
        <v>209</v>
      </c>
      <c r="J360" s="13"/>
      <c r="L360" s="13"/>
    </row>
    <row r="361">
      <c r="A361" s="2" t="s">
        <v>597</v>
      </c>
      <c r="B361" s="2" t="s">
        <v>162</v>
      </c>
      <c r="C361" s="2" t="s">
        <v>163</v>
      </c>
      <c r="D361" s="5" t="s">
        <v>8</v>
      </c>
      <c r="E361" s="5" t="s">
        <v>164</v>
      </c>
      <c r="F361" s="2" t="s">
        <v>165</v>
      </c>
      <c r="G361" s="2" t="s">
        <v>10</v>
      </c>
      <c r="H361" s="5" t="s">
        <v>164</v>
      </c>
      <c r="I361" s="2" t="s">
        <v>10</v>
      </c>
      <c r="J361" s="5" t="s">
        <v>164</v>
      </c>
      <c r="K361" s="2" t="s">
        <v>166</v>
      </c>
      <c r="L361" s="5" t="s">
        <v>164</v>
      </c>
    </row>
    <row r="362">
      <c r="C362" s="2" t="s">
        <v>163</v>
      </c>
      <c r="D362" s="13"/>
      <c r="E362" s="5" t="s">
        <v>196</v>
      </c>
      <c r="F362" s="2" t="s">
        <v>169</v>
      </c>
      <c r="G362" s="2" t="s">
        <v>591</v>
      </c>
      <c r="H362" s="5" t="s">
        <v>209</v>
      </c>
      <c r="I362" s="2" t="s">
        <v>172</v>
      </c>
      <c r="J362" s="13"/>
      <c r="L362" s="13"/>
    </row>
    <row r="363">
      <c r="C363" s="2" t="s">
        <v>163</v>
      </c>
      <c r="D363" s="13"/>
      <c r="E363" s="5" t="s">
        <v>196</v>
      </c>
      <c r="F363" s="2" t="s">
        <v>176</v>
      </c>
      <c r="G363" s="2" t="s">
        <v>592</v>
      </c>
      <c r="H363" s="5" t="s">
        <v>209</v>
      </c>
      <c r="I363" s="2" t="s">
        <v>179</v>
      </c>
      <c r="J363" s="5" t="s">
        <v>209</v>
      </c>
      <c r="L363" s="13"/>
    </row>
    <row r="364">
      <c r="C364" s="2" t="s">
        <v>163</v>
      </c>
      <c r="D364" s="13"/>
      <c r="E364" s="5" t="s">
        <v>196</v>
      </c>
      <c r="F364" s="2" t="s">
        <v>183</v>
      </c>
      <c r="H364" s="13"/>
      <c r="I364" s="2" t="s">
        <v>184</v>
      </c>
      <c r="J364" s="13"/>
      <c r="L364" s="13"/>
    </row>
    <row r="365">
      <c r="C365" s="2" t="s">
        <v>163</v>
      </c>
      <c r="D365" s="13"/>
      <c r="E365" s="5" t="s">
        <v>196</v>
      </c>
      <c r="F365" s="2" t="s">
        <v>188</v>
      </c>
      <c r="H365" s="13"/>
      <c r="I365" s="2" t="s">
        <v>166</v>
      </c>
      <c r="J365" s="13"/>
      <c r="L365" s="13"/>
    </row>
    <row r="366">
      <c r="C366" s="2" t="s">
        <v>163</v>
      </c>
      <c r="D366" s="13"/>
      <c r="E366" s="5" t="s">
        <v>196</v>
      </c>
      <c r="H366" s="13"/>
      <c r="I366" s="2" t="s">
        <v>195</v>
      </c>
      <c r="J366" s="13"/>
      <c r="L366" s="13"/>
    </row>
    <row r="367">
      <c r="D367" s="13"/>
      <c r="E367" s="5" t="s">
        <v>196</v>
      </c>
      <c r="H367" s="13"/>
      <c r="J367" s="13"/>
      <c r="L367" s="13"/>
    </row>
    <row r="368">
      <c r="B368" s="2" t="s">
        <v>593</v>
      </c>
      <c r="D368" s="13"/>
      <c r="E368" s="5" t="s">
        <v>209</v>
      </c>
      <c r="H368" s="13"/>
      <c r="I368" s="2" t="s">
        <v>201</v>
      </c>
      <c r="J368" s="5" t="s">
        <v>209</v>
      </c>
      <c r="L368" s="13"/>
    </row>
    <row r="369">
      <c r="D369" s="13"/>
      <c r="E369" s="13"/>
      <c r="H369" s="13"/>
      <c r="I369" s="2" t="s">
        <v>205</v>
      </c>
      <c r="J369" s="13"/>
      <c r="L369" s="13"/>
    </row>
    <row r="370">
      <c r="D370" s="13"/>
      <c r="E370" s="13"/>
      <c r="H370" s="13"/>
      <c r="I370" s="2" t="s">
        <v>208</v>
      </c>
      <c r="J370" s="5" t="s">
        <v>209</v>
      </c>
      <c r="L370" s="13"/>
    </row>
    <row r="371">
      <c r="D371" s="13"/>
      <c r="E371" s="13"/>
      <c r="H371" s="13"/>
      <c r="J371" s="13"/>
      <c r="L371" s="13"/>
    </row>
    <row r="372">
      <c r="D372" s="13"/>
      <c r="E372" s="13"/>
      <c r="H372" s="13"/>
      <c r="J372" s="13"/>
      <c r="L372" s="13"/>
    </row>
    <row r="373">
      <c r="D373" s="13"/>
      <c r="E373" s="13"/>
      <c r="H373" s="13"/>
      <c r="J373" s="13"/>
      <c r="L373" s="13"/>
    </row>
    <row r="374">
      <c r="D374" s="13"/>
      <c r="E374" s="13"/>
      <c r="H374" s="13"/>
      <c r="I374" s="2" t="s">
        <v>213</v>
      </c>
      <c r="J374" s="5" t="s">
        <v>209</v>
      </c>
      <c r="L374" s="13"/>
    </row>
    <row r="375">
      <c r="D375" s="13"/>
      <c r="E375" s="13"/>
      <c r="H375" s="13"/>
      <c r="J375" s="13"/>
      <c r="L375" s="13"/>
    </row>
    <row r="376">
      <c r="D376" s="13"/>
      <c r="E376" s="13"/>
      <c r="H376" s="13"/>
      <c r="J376" s="13"/>
      <c r="L376" s="13"/>
    </row>
    <row r="377">
      <c r="D377" s="13"/>
      <c r="E377" s="13"/>
      <c r="H377" s="13"/>
      <c r="J377" s="13"/>
      <c r="L377" s="13"/>
    </row>
    <row r="378">
      <c r="D378" s="13"/>
      <c r="E378" s="13"/>
      <c r="G378" s="2" t="s">
        <v>201</v>
      </c>
      <c r="H378" s="5" t="s">
        <v>209</v>
      </c>
      <c r="J378" s="13"/>
      <c r="L378" s="13"/>
    </row>
    <row r="379">
      <c r="A379" s="2" t="s">
        <v>597</v>
      </c>
      <c r="B379" s="2" t="s">
        <v>215</v>
      </c>
      <c r="C379" s="2" t="s">
        <v>163</v>
      </c>
      <c r="D379" s="5" t="s">
        <v>8</v>
      </c>
      <c r="E379" s="5" t="s">
        <v>164</v>
      </c>
      <c r="F379" s="2" t="s">
        <v>216</v>
      </c>
      <c r="G379" s="2" t="s">
        <v>10</v>
      </c>
      <c r="H379" s="5" t="s">
        <v>164</v>
      </c>
      <c r="I379" s="2" t="s">
        <v>10</v>
      </c>
      <c r="J379" s="5" t="s">
        <v>164</v>
      </c>
      <c r="K379" s="2" t="s">
        <v>166</v>
      </c>
      <c r="L379" s="5" t="s">
        <v>164</v>
      </c>
    </row>
    <row r="380">
      <c r="C380" s="2" t="s">
        <v>163</v>
      </c>
      <c r="D380" s="13"/>
      <c r="E380" s="5" t="s">
        <v>196</v>
      </c>
      <c r="F380" s="2" t="s">
        <v>169</v>
      </c>
      <c r="G380" s="2" t="s">
        <v>591</v>
      </c>
      <c r="H380" s="5" t="s">
        <v>209</v>
      </c>
      <c r="I380" s="2" t="s">
        <v>172</v>
      </c>
      <c r="J380" s="13"/>
      <c r="L380" s="13"/>
    </row>
    <row r="381">
      <c r="C381" s="2" t="s">
        <v>163</v>
      </c>
      <c r="D381" s="13"/>
      <c r="E381" s="5" t="s">
        <v>196</v>
      </c>
      <c r="F381" s="2" t="s">
        <v>176</v>
      </c>
      <c r="G381" s="2" t="s">
        <v>592</v>
      </c>
      <c r="H381" s="5" t="s">
        <v>209</v>
      </c>
      <c r="I381" s="2" t="s">
        <v>225</v>
      </c>
      <c r="J381" s="5" t="s">
        <v>209</v>
      </c>
      <c r="L381" s="13"/>
    </row>
    <row r="382">
      <c r="C382" s="2" t="s">
        <v>163</v>
      </c>
      <c r="D382" s="13"/>
      <c r="E382" s="5" t="s">
        <v>196</v>
      </c>
      <c r="F382" s="2" t="s">
        <v>183</v>
      </c>
      <c r="H382" s="13"/>
      <c r="I382" s="2" t="s">
        <v>229</v>
      </c>
      <c r="J382" s="13"/>
      <c r="L382" s="13"/>
    </row>
    <row r="383">
      <c r="C383" s="2" t="s">
        <v>163</v>
      </c>
      <c r="D383" s="13"/>
      <c r="E383" s="5" t="s">
        <v>196</v>
      </c>
      <c r="F383" s="2" t="s">
        <v>188</v>
      </c>
      <c r="H383" s="13"/>
      <c r="I383" s="2" t="s">
        <v>166</v>
      </c>
      <c r="J383" s="13"/>
      <c r="L383" s="13"/>
    </row>
    <row r="384">
      <c r="C384" s="2" t="s">
        <v>163</v>
      </c>
      <c r="D384" s="13"/>
      <c r="E384" s="5" t="s">
        <v>196</v>
      </c>
      <c r="H384" s="13"/>
      <c r="I384" s="2" t="s">
        <v>195</v>
      </c>
      <c r="J384" s="13"/>
      <c r="L384" s="13"/>
    </row>
    <row r="385">
      <c r="D385" s="13"/>
      <c r="E385" s="5" t="s">
        <v>196</v>
      </c>
      <c r="H385" s="13"/>
      <c r="J385" s="13"/>
      <c r="L385" s="13"/>
    </row>
    <row r="386">
      <c r="B386" s="2" t="s">
        <v>593</v>
      </c>
      <c r="D386" s="13"/>
      <c r="E386" s="5" t="s">
        <v>209</v>
      </c>
      <c r="H386" s="13"/>
      <c r="I386" s="2" t="s">
        <v>201</v>
      </c>
      <c r="J386" s="5" t="s">
        <v>209</v>
      </c>
      <c r="L386" s="13"/>
    </row>
    <row r="387">
      <c r="D387" s="13"/>
      <c r="E387" s="13"/>
      <c r="H387" s="13"/>
      <c r="I387" s="2" t="s">
        <v>205</v>
      </c>
      <c r="J387" s="13"/>
      <c r="L387" s="13"/>
    </row>
    <row r="388">
      <c r="D388" s="13"/>
      <c r="E388" s="13"/>
      <c r="H388" s="13"/>
      <c r="I388" s="2" t="s">
        <v>208</v>
      </c>
      <c r="J388" s="5" t="s">
        <v>209</v>
      </c>
      <c r="L388" s="13"/>
    </row>
    <row r="389">
      <c r="D389" s="13"/>
      <c r="E389" s="13"/>
      <c r="H389" s="13"/>
      <c r="J389" s="13"/>
      <c r="L389" s="13"/>
    </row>
    <row r="390">
      <c r="D390" s="13"/>
      <c r="E390" s="13"/>
      <c r="H390" s="13"/>
      <c r="J390" s="13"/>
      <c r="L390" s="13"/>
    </row>
    <row r="391">
      <c r="D391" s="13"/>
      <c r="E391" s="13"/>
      <c r="H391" s="13"/>
      <c r="J391" s="13"/>
      <c r="L391" s="13"/>
    </row>
    <row r="392">
      <c r="D392" s="13"/>
      <c r="E392" s="13"/>
      <c r="H392" s="13"/>
      <c r="I392" s="2" t="s">
        <v>213</v>
      </c>
      <c r="J392" s="5" t="s">
        <v>209</v>
      </c>
      <c r="L392" s="13"/>
    </row>
    <row r="393">
      <c r="D393" s="13"/>
      <c r="E393" s="13"/>
      <c r="H393" s="13"/>
      <c r="J393" s="13"/>
      <c r="L393" s="13"/>
    </row>
    <row r="394">
      <c r="D394" s="13"/>
      <c r="E394" s="13"/>
      <c r="H394" s="13"/>
      <c r="J394" s="13"/>
      <c r="L394" s="13"/>
    </row>
    <row r="395">
      <c r="D395" s="13"/>
      <c r="E395" s="13"/>
      <c r="H395" s="13"/>
      <c r="J395" s="13"/>
      <c r="L395" s="13"/>
    </row>
    <row r="396">
      <c r="D396" s="13"/>
      <c r="E396" s="13"/>
      <c r="G396" s="2" t="s">
        <v>201</v>
      </c>
      <c r="H396" s="5" t="s">
        <v>209</v>
      </c>
      <c r="J396" s="13"/>
      <c r="L396" s="13"/>
    </row>
    <row r="397">
      <c r="A397" s="2" t="s">
        <v>598</v>
      </c>
      <c r="B397" s="2" t="s">
        <v>162</v>
      </c>
      <c r="C397" s="2" t="s">
        <v>163</v>
      </c>
      <c r="D397" s="5" t="s">
        <v>8</v>
      </c>
      <c r="E397" s="5" t="s">
        <v>164</v>
      </c>
      <c r="F397" s="2" t="s">
        <v>165</v>
      </c>
      <c r="G397" s="2" t="s">
        <v>10</v>
      </c>
      <c r="H397" s="5" t="s">
        <v>164</v>
      </c>
      <c r="I397" s="2" t="s">
        <v>10</v>
      </c>
      <c r="J397" s="5" t="s">
        <v>164</v>
      </c>
      <c r="K397" s="2" t="s">
        <v>166</v>
      </c>
      <c r="L397" s="5" t="s">
        <v>164</v>
      </c>
    </row>
    <row r="398">
      <c r="C398" s="2" t="s">
        <v>163</v>
      </c>
      <c r="D398" s="13"/>
      <c r="E398" s="5" t="s">
        <v>196</v>
      </c>
      <c r="F398" s="2" t="s">
        <v>169</v>
      </c>
      <c r="G398" s="2" t="s">
        <v>591</v>
      </c>
      <c r="H398" s="5" t="s">
        <v>209</v>
      </c>
      <c r="I398" s="2" t="s">
        <v>172</v>
      </c>
      <c r="J398" s="13"/>
      <c r="L398" s="13"/>
    </row>
    <row r="399">
      <c r="C399" s="2" t="s">
        <v>163</v>
      </c>
      <c r="D399" s="13"/>
      <c r="E399" s="5" t="s">
        <v>196</v>
      </c>
      <c r="F399" s="2" t="s">
        <v>176</v>
      </c>
      <c r="G399" s="2" t="s">
        <v>592</v>
      </c>
      <c r="H399" s="5" t="s">
        <v>209</v>
      </c>
      <c r="I399" s="2" t="s">
        <v>179</v>
      </c>
      <c r="J399" s="5" t="s">
        <v>209</v>
      </c>
      <c r="L399" s="13"/>
    </row>
    <row r="400">
      <c r="C400" s="2" t="s">
        <v>163</v>
      </c>
      <c r="D400" s="13"/>
      <c r="E400" s="5" t="s">
        <v>196</v>
      </c>
      <c r="F400" s="2" t="s">
        <v>183</v>
      </c>
      <c r="H400" s="13"/>
      <c r="I400" s="2" t="s">
        <v>184</v>
      </c>
      <c r="J400" s="13"/>
      <c r="L400" s="13"/>
    </row>
    <row r="401">
      <c r="C401" s="2" t="s">
        <v>163</v>
      </c>
      <c r="D401" s="13"/>
      <c r="E401" s="5" t="s">
        <v>196</v>
      </c>
      <c r="F401" s="2" t="s">
        <v>188</v>
      </c>
      <c r="H401" s="13"/>
      <c r="I401" s="2" t="s">
        <v>166</v>
      </c>
      <c r="J401" s="13"/>
      <c r="L401" s="13"/>
    </row>
    <row r="402">
      <c r="C402" s="2" t="s">
        <v>163</v>
      </c>
      <c r="D402" s="13"/>
      <c r="E402" s="5" t="s">
        <v>196</v>
      </c>
      <c r="H402" s="13"/>
      <c r="I402" s="2" t="s">
        <v>195</v>
      </c>
      <c r="J402" s="13"/>
      <c r="L402" s="13"/>
    </row>
    <row r="403">
      <c r="D403" s="13"/>
      <c r="E403" s="5" t="s">
        <v>196</v>
      </c>
      <c r="H403" s="13"/>
      <c r="J403" s="13"/>
      <c r="L403" s="13"/>
    </row>
    <row r="404">
      <c r="B404" s="2" t="s">
        <v>593</v>
      </c>
      <c r="D404" s="13"/>
      <c r="E404" s="5" t="s">
        <v>209</v>
      </c>
      <c r="H404" s="13"/>
      <c r="I404" s="2" t="s">
        <v>201</v>
      </c>
      <c r="J404" s="5" t="s">
        <v>209</v>
      </c>
      <c r="L404" s="13"/>
    </row>
    <row r="405">
      <c r="D405" s="13"/>
      <c r="E405" s="13"/>
      <c r="H405" s="13"/>
      <c r="I405" s="2" t="s">
        <v>205</v>
      </c>
      <c r="J405" s="13"/>
      <c r="L405" s="13"/>
    </row>
    <row r="406">
      <c r="D406" s="13"/>
      <c r="E406" s="13"/>
      <c r="H406" s="13"/>
      <c r="I406" s="2" t="s">
        <v>208</v>
      </c>
      <c r="J406" s="5" t="s">
        <v>209</v>
      </c>
      <c r="L406" s="13"/>
    </row>
    <row r="407">
      <c r="D407" s="13"/>
      <c r="E407" s="13"/>
      <c r="H407" s="13"/>
      <c r="J407" s="13"/>
      <c r="L407" s="13"/>
    </row>
    <row r="408">
      <c r="D408" s="13"/>
      <c r="E408" s="13"/>
      <c r="H408" s="13"/>
      <c r="J408" s="13"/>
      <c r="L408" s="13"/>
    </row>
    <row r="409">
      <c r="D409" s="13"/>
      <c r="E409" s="13"/>
      <c r="H409" s="13"/>
      <c r="J409" s="13"/>
      <c r="L409" s="13"/>
    </row>
    <row r="410">
      <c r="D410" s="13"/>
      <c r="E410" s="13"/>
      <c r="H410" s="13"/>
      <c r="I410" s="2" t="s">
        <v>213</v>
      </c>
      <c r="J410" s="5" t="s">
        <v>209</v>
      </c>
      <c r="L410" s="13"/>
    </row>
    <row r="411">
      <c r="D411" s="13"/>
      <c r="E411" s="13"/>
      <c r="H411" s="13"/>
      <c r="J411" s="13"/>
      <c r="L411" s="13"/>
    </row>
    <row r="412">
      <c r="D412" s="13"/>
      <c r="E412" s="13"/>
      <c r="H412" s="13"/>
      <c r="J412" s="13"/>
      <c r="L412" s="13"/>
    </row>
    <row r="413">
      <c r="D413" s="13"/>
      <c r="E413" s="13"/>
      <c r="H413" s="13"/>
      <c r="J413" s="13"/>
      <c r="L413" s="13"/>
    </row>
    <row r="414">
      <c r="D414" s="13"/>
      <c r="E414" s="13"/>
      <c r="G414" s="2" t="s">
        <v>201</v>
      </c>
      <c r="H414" s="5" t="s">
        <v>209</v>
      </c>
      <c r="J414" s="13"/>
      <c r="L414" s="13"/>
    </row>
    <row r="415">
      <c r="A415" s="2" t="s">
        <v>598</v>
      </c>
      <c r="B415" s="2" t="s">
        <v>215</v>
      </c>
      <c r="C415" s="2" t="s">
        <v>163</v>
      </c>
      <c r="D415" s="5" t="s">
        <v>8</v>
      </c>
      <c r="E415" s="5" t="s">
        <v>164</v>
      </c>
      <c r="F415" s="2" t="s">
        <v>216</v>
      </c>
      <c r="G415" s="2" t="s">
        <v>10</v>
      </c>
      <c r="H415" s="5" t="s">
        <v>164</v>
      </c>
      <c r="I415" s="2" t="s">
        <v>10</v>
      </c>
      <c r="J415" s="5" t="s">
        <v>164</v>
      </c>
      <c r="K415" s="2" t="s">
        <v>166</v>
      </c>
      <c r="L415" s="5" t="s">
        <v>164</v>
      </c>
    </row>
    <row r="416">
      <c r="C416" s="2" t="s">
        <v>163</v>
      </c>
      <c r="D416" s="13"/>
      <c r="E416" s="5" t="s">
        <v>196</v>
      </c>
      <c r="F416" s="2" t="s">
        <v>169</v>
      </c>
      <c r="G416" s="2" t="s">
        <v>591</v>
      </c>
      <c r="H416" s="5" t="s">
        <v>209</v>
      </c>
      <c r="I416" s="2" t="s">
        <v>172</v>
      </c>
      <c r="J416" s="13"/>
      <c r="L416" s="13"/>
    </row>
    <row r="417">
      <c r="C417" s="2" t="s">
        <v>163</v>
      </c>
      <c r="D417" s="13"/>
      <c r="E417" s="5" t="s">
        <v>196</v>
      </c>
      <c r="F417" s="2" t="s">
        <v>176</v>
      </c>
      <c r="G417" s="2" t="s">
        <v>592</v>
      </c>
      <c r="H417" s="5" t="s">
        <v>209</v>
      </c>
      <c r="I417" s="2" t="s">
        <v>225</v>
      </c>
      <c r="J417" s="5" t="s">
        <v>209</v>
      </c>
      <c r="L417" s="13"/>
    </row>
    <row r="418">
      <c r="C418" s="2" t="s">
        <v>163</v>
      </c>
      <c r="D418" s="13"/>
      <c r="E418" s="5" t="s">
        <v>196</v>
      </c>
      <c r="F418" s="2" t="s">
        <v>183</v>
      </c>
      <c r="H418" s="13"/>
      <c r="I418" s="2" t="s">
        <v>229</v>
      </c>
      <c r="J418" s="13"/>
      <c r="L418" s="13"/>
    </row>
    <row r="419">
      <c r="C419" s="2" t="s">
        <v>163</v>
      </c>
      <c r="D419" s="13"/>
      <c r="E419" s="5" t="s">
        <v>196</v>
      </c>
      <c r="F419" s="2" t="s">
        <v>188</v>
      </c>
      <c r="H419" s="13"/>
      <c r="I419" s="2" t="s">
        <v>166</v>
      </c>
      <c r="J419" s="13"/>
      <c r="L419" s="13"/>
    </row>
    <row r="420">
      <c r="C420" s="2" t="s">
        <v>163</v>
      </c>
      <c r="D420" s="13"/>
      <c r="E420" s="5" t="s">
        <v>196</v>
      </c>
      <c r="H420" s="13"/>
      <c r="I420" s="2" t="s">
        <v>195</v>
      </c>
      <c r="J420" s="13"/>
      <c r="L420" s="13"/>
    </row>
    <row r="421">
      <c r="D421" s="13"/>
      <c r="E421" s="5" t="s">
        <v>196</v>
      </c>
      <c r="H421" s="13"/>
      <c r="J421" s="13"/>
      <c r="L421" s="13"/>
    </row>
    <row r="422">
      <c r="B422" s="2" t="s">
        <v>593</v>
      </c>
      <c r="D422" s="13"/>
      <c r="E422" s="5" t="s">
        <v>209</v>
      </c>
      <c r="H422" s="13"/>
      <c r="I422" s="2" t="s">
        <v>201</v>
      </c>
      <c r="J422" s="5" t="s">
        <v>209</v>
      </c>
      <c r="L422" s="13"/>
    </row>
    <row r="423">
      <c r="D423" s="13"/>
      <c r="E423" s="13"/>
      <c r="H423" s="13"/>
      <c r="I423" s="2" t="s">
        <v>205</v>
      </c>
      <c r="J423" s="13"/>
      <c r="L423" s="13"/>
    </row>
    <row r="424">
      <c r="D424" s="13"/>
      <c r="E424" s="13"/>
      <c r="H424" s="13"/>
      <c r="I424" s="2" t="s">
        <v>208</v>
      </c>
      <c r="J424" s="5" t="s">
        <v>209</v>
      </c>
      <c r="L424" s="13"/>
    </row>
    <row r="425">
      <c r="D425" s="13"/>
      <c r="E425" s="13"/>
      <c r="H425" s="13"/>
      <c r="J425" s="13"/>
      <c r="L425" s="13"/>
    </row>
    <row r="426">
      <c r="D426" s="13"/>
      <c r="E426" s="13"/>
      <c r="H426" s="13"/>
      <c r="J426" s="13"/>
      <c r="L426" s="13"/>
    </row>
    <row r="427">
      <c r="D427" s="13"/>
      <c r="E427" s="13"/>
      <c r="H427" s="13"/>
      <c r="J427" s="13"/>
      <c r="L427" s="13"/>
    </row>
    <row r="428">
      <c r="D428" s="13"/>
      <c r="E428" s="13"/>
      <c r="H428" s="13"/>
      <c r="I428" s="2" t="s">
        <v>213</v>
      </c>
      <c r="J428" s="5" t="s">
        <v>209</v>
      </c>
      <c r="L428" s="13"/>
    </row>
    <row r="429">
      <c r="D429" s="13"/>
      <c r="E429" s="13"/>
      <c r="H429" s="13"/>
      <c r="J429" s="13"/>
      <c r="L429" s="13"/>
    </row>
    <row r="430">
      <c r="D430" s="13"/>
      <c r="E430" s="13"/>
      <c r="H430" s="13"/>
      <c r="J430" s="13"/>
      <c r="L430" s="13"/>
    </row>
    <row r="431">
      <c r="D431" s="13"/>
      <c r="E431" s="13"/>
      <c r="H431" s="13"/>
      <c r="J431" s="13"/>
      <c r="L431" s="13"/>
    </row>
    <row r="432">
      <c r="D432" s="13"/>
      <c r="E432" s="13"/>
      <c r="G432" s="2" t="s">
        <v>201</v>
      </c>
      <c r="H432" s="5" t="s">
        <v>209</v>
      </c>
      <c r="J432" s="13"/>
      <c r="L432" s="13"/>
    </row>
  </sheetData>
  <autoFilter ref="$A$1:$L$43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A34A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hidden="1" min="1" max="1" width="18.25"/>
    <col customWidth="1" hidden="1" min="2" max="3" width="20.5"/>
    <col customWidth="1" min="4" max="4" width="8.0"/>
    <col customWidth="1" min="5" max="6" width="12.0"/>
    <col customWidth="1" min="7" max="7" width="12.38"/>
    <col customWidth="1" min="8" max="8" width="12.75"/>
    <col customWidth="1" min="9" max="9" width="20.63"/>
    <col customWidth="1" min="10" max="10" width="17.13"/>
    <col customWidth="1" min="11" max="11" width="9.13"/>
    <col customWidth="1" min="12" max="12" width="25.13"/>
    <col customWidth="1" min="13" max="13" width="11.75"/>
    <col customWidth="1" min="14" max="14" width="10.38"/>
    <col customWidth="1" min="15" max="15" width="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599</v>
      </c>
      <c r="I1" s="1" t="s">
        <v>600</v>
      </c>
      <c r="J1" s="1" t="s">
        <v>10</v>
      </c>
      <c r="K1" s="1" t="s">
        <v>9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601</v>
      </c>
      <c r="B2" s="3" t="s">
        <v>16</v>
      </c>
      <c r="C2" s="3" t="s">
        <v>16</v>
      </c>
      <c r="D2" s="2" t="s">
        <v>17</v>
      </c>
      <c r="E2" s="4">
        <v>2026.0</v>
      </c>
      <c r="F2" s="4">
        <v>1.0</v>
      </c>
      <c r="G2" s="3">
        <v>46013.0</v>
      </c>
      <c r="H2" s="2" t="s">
        <v>602</v>
      </c>
      <c r="I2" s="5" t="s">
        <v>169</v>
      </c>
      <c r="J2" s="2" t="s">
        <v>170</v>
      </c>
      <c r="K2" s="5">
        <v>2610360.0</v>
      </c>
      <c r="L2" s="2" t="s">
        <v>19</v>
      </c>
      <c r="M2" s="4">
        <v>2.0</v>
      </c>
      <c r="N2" s="4">
        <v>1.0</v>
      </c>
    </row>
    <row r="3">
      <c r="A3" s="2" t="s">
        <v>603</v>
      </c>
      <c r="B3" s="3" t="s">
        <v>16</v>
      </c>
      <c r="C3" s="3" t="s">
        <v>16</v>
      </c>
      <c r="D3" s="2" t="s">
        <v>17</v>
      </c>
      <c r="E3" s="4">
        <v>2026.0</v>
      </c>
      <c r="F3" s="4">
        <v>1.0</v>
      </c>
      <c r="G3" s="3">
        <v>46013.0</v>
      </c>
      <c r="H3" s="2" t="s">
        <v>602</v>
      </c>
      <c r="I3" s="5" t="s">
        <v>176</v>
      </c>
      <c r="J3" s="2" t="s">
        <v>177</v>
      </c>
      <c r="K3" s="5">
        <v>3698010.0</v>
      </c>
      <c r="L3" s="2" t="s">
        <v>19</v>
      </c>
      <c r="M3" s="4">
        <v>3.0</v>
      </c>
      <c r="N3" s="4">
        <v>1.0</v>
      </c>
    </row>
    <row r="4">
      <c r="A4" s="2" t="s">
        <v>604</v>
      </c>
      <c r="B4" s="3" t="s">
        <v>16</v>
      </c>
      <c r="C4" s="3" t="s">
        <v>16</v>
      </c>
      <c r="D4" s="2" t="s">
        <v>17</v>
      </c>
      <c r="E4" s="4">
        <v>2026.0</v>
      </c>
      <c r="F4" s="4">
        <v>1.0</v>
      </c>
      <c r="G4" s="3">
        <v>46013.0</v>
      </c>
      <c r="H4" s="2" t="s">
        <v>602</v>
      </c>
      <c r="I4" s="5" t="s">
        <v>183</v>
      </c>
      <c r="K4" s="5">
        <v>700000.0</v>
      </c>
      <c r="L4" s="2" t="s">
        <v>19</v>
      </c>
      <c r="M4" s="4">
        <v>4.0</v>
      </c>
      <c r="N4" s="4">
        <v>1.0</v>
      </c>
    </row>
    <row r="5">
      <c r="A5" s="2" t="s">
        <v>605</v>
      </c>
      <c r="B5" s="3" t="s">
        <v>16</v>
      </c>
      <c r="C5" s="3" t="s">
        <v>16</v>
      </c>
      <c r="D5" s="2" t="s">
        <v>17</v>
      </c>
      <c r="E5" s="4">
        <v>2026.0</v>
      </c>
      <c r="F5" s="4">
        <v>1.0</v>
      </c>
      <c r="G5" s="3">
        <v>46013.0</v>
      </c>
      <c r="H5" s="2" t="s">
        <v>602</v>
      </c>
      <c r="I5" s="5" t="s">
        <v>188</v>
      </c>
      <c r="K5" s="5">
        <v>250000.0</v>
      </c>
      <c r="L5" s="2" t="s">
        <v>19</v>
      </c>
      <c r="M5" s="4">
        <v>5.0</v>
      </c>
      <c r="N5" s="4">
        <v>1.0</v>
      </c>
    </row>
    <row r="6">
      <c r="A6" s="2" t="s">
        <v>606</v>
      </c>
      <c r="B6" s="3" t="s">
        <v>16</v>
      </c>
      <c r="C6" s="3" t="s">
        <v>16</v>
      </c>
      <c r="D6" s="2" t="s">
        <v>17</v>
      </c>
      <c r="E6" s="4">
        <v>2026.0</v>
      </c>
      <c r="F6" s="4">
        <v>1.0</v>
      </c>
      <c r="G6" s="3">
        <v>46013.0</v>
      </c>
      <c r="H6" s="2" t="s">
        <v>607</v>
      </c>
      <c r="I6" s="5" t="s">
        <v>192</v>
      </c>
      <c r="J6" s="2" t="s">
        <v>193</v>
      </c>
      <c r="K6" s="5">
        <v>1.421E7</v>
      </c>
      <c r="L6" s="2" t="s">
        <v>19</v>
      </c>
      <c r="M6" s="4">
        <v>6.0</v>
      </c>
      <c r="N6" s="4">
        <v>1.0</v>
      </c>
    </row>
    <row r="7">
      <c r="A7" s="2" t="s">
        <v>608</v>
      </c>
      <c r="B7" s="3" t="s">
        <v>16</v>
      </c>
      <c r="C7" s="3" t="s">
        <v>16</v>
      </c>
      <c r="D7" s="2" t="s">
        <v>17</v>
      </c>
      <c r="E7" s="4">
        <v>2026.0</v>
      </c>
      <c r="F7" s="4">
        <v>1.0</v>
      </c>
      <c r="G7" s="3">
        <v>46013.0</v>
      </c>
      <c r="H7" s="2" t="s">
        <v>607</v>
      </c>
      <c r="I7" s="5" t="s">
        <v>197</v>
      </c>
      <c r="K7" s="5">
        <v>1400000.0</v>
      </c>
      <c r="L7" s="2" t="s">
        <v>19</v>
      </c>
      <c r="M7" s="4">
        <v>7.0</v>
      </c>
      <c r="N7" s="4">
        <v>1.0</v>
      </c>
    </row>
    <row r="8">
      <c r="A8" s="2" t="s">
        <v>609</v>
      </c>
      <c r="B8" s="3" t="s">
        <v>16</v>
      </c>
      <c r="C8" s="3" t="s">
        <v>16</v>
      </c>
      <c r="D8" s="2" t="s">
        <v>17</v>
      </c>
      <c r="E8" s="4">
        <v>2026.0</v>
      </c>
      <c r="F8" s="4">
        <v>1.0</v>
      </c>
      <c r="G8" s="3">
        <v>46013.0</v>
      </c>
      <c r="H8" s="2" t="s">
        <v>610</v>
      </c>
      <c r="I8" s="5" t="s">
        <v>200</v>
      </c>
      <c r="K8" s="5">
        <v>220000.0</v>
      </c>
      <c r="L8" s="2" t="s">
        <v>19</v>
      </c>
      <c r="M8" s="4">
        <v>8.0</v>
      </c>
      <c r="N8" s="4">
        <v>1.0</v>
      </c>
    </row>
    <row r="9">
      <c r="A9" s="2" t="s">
        <v>611</v>
      </c>
      <c r="B9" s="3" t="s">
        <v>16</v>
      </c>
      <c r="C9" s="3" t="s">
        <v>16</v>
      </c>
      <c r="D9" s="2" t="s">
        <v>17</v>
      </c>
      <c r="E9" s="4">
        <v>2026.0</v>
      </c>
      <c r="F9" s="4">
        <v>1.0</v>
      </c>
      <c r="G9" s="3">
        <v>46013.0</v>
      </c>
      <c r="H9" s="2" t="s">
        <v>610</v>
      </c>
      <c r="I9" s="5" t="s">
        <v>203</v>
      </c>
      <c r="K9" s="5">
        <v>4715000.0</v>
      </c>
      <c r="L9" s="2" t="s">
        <v>19</v>
      </c>
      <c r="M9" s="4">
        <v>9.0</v>
      </c>
      <c r="N9" s="4">
        <v>1.0</v>
      </c>
    </row>
    <row r="10">
      <c r="A10" s="2" t="s">
        <v>612</v>
      </c>
      <c r="B10" s="3" t="s">
        <v>16</v>
      </c>
      <c r="C10" s="3" t="s">
        <v>16</v>
      </c>
      <c r="D10" s="2" t="s">
        <v>17</v>
      </c>
      <c r="E10" s="4">
        <v>2026.0</v>
      </c>
      <c r="F10" s="4">
        <v>1.0</v>
      </c>
      <c r="G10" s="3">
        <v>46013.0</v>
      </c>
      <c r="H10" s="2" t="s">
        <v>613</v>
      </c>
      <c r="I10" s="5" t="s">
        <v>206</v>
      </c>
      <c r="K10" s="5">
        <v>2000000.0</v>
      </c>
      <c r="L10" s="2" t="s">
        <v>19</v>
      </c>
      <c r="M10" s="4">
        <v>10.0</v>
      </c>
      <c r="N10" s="4">
        <v>1.0</v>
      </c>
    </row>
    <row r="11">
      <c r="A11" s="2" t="s">
        <v>614</v>
      </c>
      <c r="B11" s="3" t="s">
        <v>16</v>
      </c>
      <c r="C11" s="3" t="s">
        <v>16</v>
      </c>
      <c r="D11" s="2" t="s">
        <v>17</v>
      </c>
      <c r="E11" s="4">
        <v>2026.0</v>
      </c>
      <c r="F11" s="4">
        <v>1.0</v>
      </c>
      <c r="G11" s="3">
        <v>46013.0</v>
      </c>
      <c r="H11" s="2" t="s">
        <v>613</v>
      </c>
      <c r="I11" s="5" t="s">
        <v>210</v>
      </c>
      <c r="K11" s="5">
        <v>100000.0</v>
      </c>
      <c r="L11" s="2" t="s">
        <v>19</v>
      </c>
      <c r="M11" s="4">
        <v>11.0</v>
      </c>
      <c r="N11" s="4">
        <v>1.0</v>
      </c>
    </row>
    <row r="12">
      <c r="A12" s="2" t="s">
        <v>615</v>
      </c>
      <c r="B12" s="3" t="s">
        <v>16</v>
      </c>
      <c r="C12" s="3" t="s">
        <v>16</v>
      </c>
      <c r="D12" s="2" t="s">
        <v>17</v>
      </c>
      <c r="E12" s="4">
        <v>2026.0</v>
      </c>
      <c r="F12" s="4">
        <v>1.0</v>
      </c>
      <c r="G12" s="3">
        <v>46013.0</v>
      </c>
      <c r="H12" s="2" t="s">
        <v>613</v>
      </c>
      <c r="I12" s="5" t="s">
        <v>211</v>
      </c>
      <c r="K12" s="5">
        <v>1230000.0</v>
      </c>
      <c r="L12" s="2" t="s">
        <v>19</v>
      </c>
      <c r="M12" s="4">
        <v>12.0</v>
      </c>
      <c r="N12" s="4">
        <v>1.0</v>
      </c>
    </row>
    <row r="13">
      <c r="A13" s="2" t="s">
        <v>616</v>
      </c>
      <c r="B13" s="3" t="s">
        <v>25</v>
      </c>
      <c r="C13" s="3" t="s">
        <v>25</v>
      </c>
      <c r="D13" s="2" t="s">
        <v>17</v>
      </c>
      <c r="E13" s="4">
        <v>2026.0</v>
      </c>
      <c r="F13" s="4">
        <v>1.0</v>
      </c>
      <c r="G13" s="3">
        <v>46026.0</v>
      </c>
      <c r="H13" s="2" t="s">
        <v>602</v>
      </c>
      <c r="I13" s="5" t="s">
        <v>169</v>
      </c>
      <c r="J13" s="2" t="s">
        <v>219</v>
      </c>
      <c r="K13" s="5">
        <v>2184840.0</v>
      </c>
      <c r="L13" s="2" t="s">
        <v>19</v>
      </c>
      <c r="M13" s="4">
        <v>20.0</v>
      </c>
      <c r="N13" s="4">
        <v>2.0</v>
      </c>
    </row>
    <row r="14">
      <c r="A14" s="2" t="s">
        <v>617</v>
      </c>
      <c r="B14" s="3" t="s">
        <v>25</v>
      </c>
      <c r="C14" s="3" t="s">
        <v>25</v>
      </c>
      <c r="D14" s="2" t="s">
        <v>17</v>
      </c>
      <c r="E14" s="4">
        <v>2026.0</v>
      </c>
      <c r="F14" s="4">
        <v>1.0</v>
      </c>
      <c r="G14" s="3">
        <v>46026.0</v>
      </c>
      <c r="H14" s="2" t="s">
        <v>602</v>
      </c>
      <c r="I14" s="5" t="s">
        <v>176</v>
      </c>
      <c r="J14" s="2" t="s">
        <v>223</v>
      </c>
      <c r="K14" s="5">
        <v>3095190.0</v>
      </c>
      <c r="L14" s="2" t="s">
        <v>19</v>
      </c>
      <c r="M14" s="4">
        <v>21.0</v>
      </c>
      <c r="N14" s="4">
        <v>2.0</v>
      </c>
    </row>
    <row r="15">
      <c r="A15" s="2" t="s">
        <v>618</v>
      </c>
      <c r="B15" s="3" t="s">
        <v>25</v>
      </c>
      <c r="C15" s="3" t="s">
        <v>25</v>
      </c>
      <c r="D15" s="2" t="s">
        <v>17</v>
      </c>
      <c r="E15" s="4">
        <v>2026.0</v>
      </c>
      <c r="F15" s="4">
        <v>1.0</v>
      </c>
      <c r="G15" s="3">
        <v>46026.0</v>
      </c>
      <c r="H15" s="2" t="s">
        <v>602</v>
      </c>
      <c r="I15" s="5" t="s">
        <v>183</v>
      </c>
      <c r="K15" s="5">
        <v>700000.0</v>
      </c>
      <c r="L15" s="2" t="s">
        <v>19</v>
      </c>
      <c r="M15" s="4">
        <v>22.0</v>
      </c>
      <c r="N15" s="4">
        <v>2.0</v>
      </c>
    </row>
    <row r="16">
      <c r="A16" s="2" t="s">
        <v>619</v>
      </c>
      <c r="B16" s="3" t="s">
        <v>25</v>
      </c>
      <c r="C16" s="3" t="s">
        <v>25</v>
      </c>
      <c r="D16" s="2" t="s">
        <v>17</v>
      </c>
      <c r="E16" s="4">
        <v>2026.0</v>
      </c>
      <c r="F16" s="4">
        <v>1.0</v>
      </c>
      <c r="G16" s="3">
        <v>46026.0</v>
      </c>
      <c r="H16" s="2" t="s">
        <v>602</v>
      </c>
      <c r="I16" s="5" t="s">
        <v>188</v>
      </c>
      <c r="K16" s="5">
        <v>200000.0</v>
      </c>
      <c r="L16" s="2" t="s">
        <v>19</v>
      </c>
      <c r="M16" s="4">
        <v>23.0</v>
      </c>
      <c r="N16" s="4">
        <v>2.0</v>
      </c>
    </row>
    <row r="17">
      <c r="A17" s="2" t="s">
        <v>620</v>
      </c>
      <c r="B17" s="3" t="s">
        <v>621</v>
      </c>
      <c r="C17" s="3" t="s">
        <v>621</v>
      </c>
      <c r="D17" s="2" t="s">
        <v>17</v>
      </c>
      <c r="E17" s="4">
        <v>2026.0</v>
      </c>
      <c r="F17" s="4">
        <v>1.0</v>
      </c>
      <c r="G17" s="3">
        <v>46026.0</v>
      </c>
      <c r="H17" s="2" t="s">
        <v>622</v>
      </c>
      <c r="I17" s="5" t="s">
        <v>233</v>
      </c>
      <c r="K17" s="5">
        <v>4500000.0</v>
      </c>
      <c r="L17" s="2" t="s">
        <v>19</v>
      </c>
      <c r="M17" s="4">
        <v>24.0</v>
      </c>
      <c r="N17" s="4">
        <v>2.0</v>
      </c>
    </row>
    <row r="18">
      <c r="A18" s="2" t="s">
        <v>623</v>
      </c>
      <c r="B18" s="3" t="s">
        <v>621</v>
      </c>
      <c r="C18" s="3" t="s">
        <v>621</v>
      </c>
      <c r="D18" s="2" t="s">
        <v>17</v>
      </c>
      <c r="E18" s="4">
        <v>2026.0</v>
      </c>
      <c r="F18" s="4">
        <v>1.0</v>
      </c>
      <c r="G18" s="3">
        <v>46026.0</v>
      </c>
      <c r="H18" s="2" t="s">
        <v>613</v>
      </c>
      <c r="I18" s="5" t="s">
        <v>235</v>
      </c>
      <c r="K18" s="5">
        <v>500000.0</v>
      </c>
      <c r="L18" s="2" t="s">
        <v>19</v>
      </c>
      <c r="M18" s="4">
        <v>25.0</v>
      </c>
      <c r="N18" s="4">
        <v>2.0</v>
      </c>
    </row>
    <row r="19">
      <c r="A19" s="2" t="s">
        <v>624</v>
      </c>
      <c r="B19" s="3" t="s">
        <v>621</v>
      </c>
      <c r="C19" s="3" t="s">
        <v>621</v>
      </c>
      <c r="D19" s="2" t="s">
        <v>17</v>
      </c>
      <c r="E19" s="4">
        <v>2026.0</v>
      </c>
      <c r="F19" s="4">
        <v>1.0</v>
      </c>
      <c r="G19" s="3">
        <v>46026.0</v>
      </c>
      <c r="H19" s="2" t="s">
        <v>237</v>
      </c>
      <c r="I19" s="5" t="s">
        <v>237</v>
      </c>
      <c r="K19" s="5">
        <v>6000000.0</v>
      </c>
      <c r="L19" s="2" t="s">
        <v>19</v>
      </c>
      <c r="M19" s="4">
        <v>26.0</v>
      </c>
      <c r="N19" s="4">
        <v>2.0</v>
      </c>
    </row>
    <row r="20">
      <c r="A20" s="2" t="s">
        <v>625</v>
      </c>
      <c r="B20" s="3" t="s">
        <v>621</v>
      </c>
      <c r="C20" s="3" t="s">
        <v>621</v>
      </c>
      <c r="D20" s="2" t="s">
        <v>17</v>
      </c>
      <c r="E20" s="4">
        <v>2026.0</v>
      </c>
      <c r="F20" s="4">
        <v>1.0</v>
      </c>
      <c r="G20" s="3">
        <v>46026.0</v>
      </c>
      <c r="H20" s="2" t="s">
        <v>626</v>
      </c>
      <c r="I20" s="5" t="s">
        <v>239</v>
      </c>
      <c r="J20" s="2" t="s">
        <v>240</v>
      </c>
      <c r="K20" s="5">
        <v>1050000.0</v>
      </c>
      <c r="L20" s="2" t="s">
        <v>19</v>
      </c>
      <c r="M20" s="4">
        <v>27.0</v>
      </c>
      <c r="N20" s="4">
        <v>2.0</v>
      </c>
    </row>
    <row r="21">
      <c r="A21" s="2" t="s">
        <v>627</v>
      </c>
      <c r="B21" s="3" t="s">
        <v>621</v>
      </c>
      <c r="C21" s="3" t="s">
        <v>621</v>
      </c>
      <c r="D21" s="2" t="s">
        <v>17</v>
      </c>
      <c r="E21" s="4">
        <v>2026.0</v>
      </c>
      <c r="F21" s="4">
        <v>1.0</v>
      </c>
      <c r="G21" s="3">
        <v>46026.0</v>
      </c>
      <c r="H21" s="2" t="s">
        <v>602</v>
      </c>
      <c r="I21" s="5" t="s">
        <v>243</v>
      </c>
      <c r="K21" s="5">
        <v>750000.0</v>
      </c>
      <c r="L21" s="2" t="s">
        <v>19</v>
      </c>
      <c r="M21" s="4">
        <v>28.0</v>
      </c>
      <c r="N21" s="4">
        <v>2.0</v>
      </c>
    </row>
    <row r="22">
      <c r="A22" s="2" t="s">
        <v>628</v>
      </c>
      <c r="B22" s="3" t="s">
        <v>621</v>
      </c>
      <c r="C22" s="3" t="s">
        <v>621</v>
      </c>
      <c r="D22" s="2" t="s">
        <v>17</v>
      </c>
      <c r="E22" s="4">
        <v>2026.0</v>
      </c>
      <c r="F22" s="4">
        <v>1.0</v>
      </c>
      <c r="G22" s="3">
        <v>46026.0</v>
      </c>
      <c r="H22" s="2" t="s">
        <v>613</v>
      </c>
      <c r="I22" s="5" t="s">
        <v>245</v>
      </c>
      <c r="K22" s="5">
        <v>330000.0</v>
      </c>
      <c r="L22" s="2" t="s">
        <v>19</v>
      </c>
      <c r="M22" s="4">
        <v>29.0</v>
      </c>
      <c r="N22" s="4">
        <v>2.0</v>
      </c>
    </row>
    <row r="23">
      <c r="A23" s="2" t="s">
        <v>629</v>
      </c>
      <c r="B23" s="3" t="s">
        <v>621</v>
      </c>
      <c r="C23" s="3" t="s">
        <v>621</v>
      </c>
      <c r="D23" s="2" t="s">
        <v>17</v>
      </c>
      <c r="E23" s="4">
        <v>2026.0</v>
      </c>
      <c r="F23" s="4">
        <v>1.0</v>
      </c>
      <c r="G23" s="3">
        <v>46026.0</v>
      </c>
      <c r="H23" s="2" t="s">
        <v>610</v>
      </c>
      <c r="I23" s="5" t="s">
        <v>246</v>
      </c>
      <c r="K23" s="5">
        <v>100000.0</v>
      </c>
      <c r="L23" s="2" t="s">
        <v>19</v>
      </c>
      <c r="M23" s="4">
        <v>30.0</v>
      </c>
      <c r="N23" s="4">
        <v>2.0</v>
      </c>
    </row>
    <row r="24">
      <c r="A24" s="2" t="s">
        <v>630</v>
      </c>
      <c r="B24" s="3" t="s">
        <v>621</v>
      </c>
      <c r="C24" s="3" t="s">
        <v>621</v>
      </c>
      <c r="D24" s="2" t="s">
        <v>17</v>
      </c>
      <c r="E24" s="4">
        <v>2026.0</v>
      </c>
      <c r="F24" s="4">
        <v>1.0</v>
      </c>
      <c r="G24" s="3">
        <v>46026.0</v>
      </c>
      <c r="H24" s="2" t="s">
        <v>626</v>
      </c>
      <c r="I24" s="5" t="s">
        <v>239</v>
      </c>
      <c r="J24" s="2" t="s">
        <v>247</v>
      </c>
      <c r="K24" s="5">
        <v>800000.0</v>
      </c>
      <c r="L24" s="2" t="s">
        <v>19</v>
      </c>
      <c r="M24" s="4">
        <v>31.0</v>
      </c>
      <c r="N24" s="4">
        <v>2.0</v>
      </c>
    </row>
    <row r="25">
      <c r="A25" s="2" t="s">
        <v>631</v>
      </c>
      <c r="B25" s="3" t="s">
        <v>621</v>
      </c>
      <c r="C25" s="3" t="s">
        <v>621</v>
      </c>
      <c r="D25" s="2" t="s">
        <v>17</v>
      </c>
      <c r="E25" s="4">
        <v>2026.0</v>
      </c>
      <c r="F25" s="4">
        <v>1.0</v>
      </c>
      <c r="G25" s="3">
        <v>46026.0</v>
      </c>
      <c r="H25" s="2" t="s">
        <v>626</v>
      </c>
      <c r="I25" s="5" t="s">
        <v>248</v>
      </c>
      <c r="J25" s="2" t="s">
        <v>249</v>
      </c>
      <c r="K25" s="5">
        <v>2975000.0</v>
      </c>
      <c r="L25" s="2" t="s">
        <v>19</v>
      </c>
      <c r="M25" s="4">
        <v>32.0</v>
      </c>
      <c r="N25" s="4">
        <v>2.0</v>
      </c>
    </row>
    <row r="26">
      <c r="A26" s="2" t="s">
        <v>632</v>
      </c>
      <c r="B26" s="3" t="s">
        <v>32</v>
      </c>
      <c r="C26" s="3" t="s">
        <v>32</v>
      </c>
      <c r="D26" s="2" t="s">
        <v>17</v>
      </c>
      <c r="E26" s="4">
        <v>2026.0</v>
      </c>
      <c r="F26" s="4">
        <v>1.0</v>
      </c>
      <c r="G26" s="3">
        <v>46041.0</v>
      </c>
      <c r="H26" s="2" t="s">
        <v>602</v>
      </c>
      <c r="I26" s="5" t="s">
        <v>169</v>
      </c>
      <c r="J26" s="2" t="s">
        <v>256</v>
      </c>
      <c r="K26" s="5">
        <v>2496840.0</v>
      </c>
      <c r="L26" s="2" t="s">
        <v>19</v>
      </c>
      <c r="M26" s="4">
        <v>38.0</v>
      </c>
      <c r="N26" s="4">
        <v>3.0</v>
      </c>
    </row>
    <row r="27">
      <c r="A27" s="2" t="s">
        <v>633</v>
      </c>
      <c r="B27" s="3" t="s">
        <v>32</v>
      </c>
      <c r="C27" s="3" t="s">
        <v>32</v>
      </c>
      <c r="D27" s="2" t="s">
        <v>17</v>
      </c>
      <c r="E27" s="4">
        <v>2026.0</v>
      </c>
      <c r="F27" s="4">
        <v>1.0</v>
      </c>
      <c r="G27" s="3">
        <v>46041.0</v>
      </c>
      <c r="H27" s="2" t="s">
        <v>602</v>
      </c>
      <c r="I27" s="5" t="s">
        <v>176</v>
      </c>
      <c r="J27" s="2" t="s">
        <v>260</v>
      </c>
      <c r="K27" s="5">
        <v>3537190.0</v>
      </c>
      <c r="L27" s="2" t="s">
        <v>19</v>
      </c>
      <c r="M27" s="4">
        <v>39.0</v>
      </c>
      <c r="N27" s="4">
        <v>3.0</v>
      </c>
    </row>
    <row r="28">
      <c r="A28" s="2" t="s">
        <v>634</v>
      </c>
      <c r="B28" s="3" t="s">
        <v>32</v>
      </c>
      <c r="C28" s="3" t="s">
        <v>32</v>
      </c>
      <c r="D28" s="2" t="s">
        <v>17</v>
      </c>
      <c r="E28" s="4">
        <v>2026.0</v>
      </c>
      <c r="F28" s="4">
        <v>1.0</v>
      </c>
      <c r="G28" s="3">
        <v>46041.0</v>
      </c>
      <c r="H28" s="2" t="s">
        <v>602</v>
      </c>
      <c r="I28" s="5" t="s">
        <v>183</v>
      </c>
      <c r="K28" s="5">
        <v>700000.0</v>
      </c>
      <c r="L28" s="2" t="s">
        <v>19</v>
      </c>
      <c r="M28" s="4">
        <v>40.0</v>
      </c>
      <c r="N28" s="4">
        <v>3.0</v>
      </c>
    </row>
    <row r="29">
      <c r="A29" s="2" t="s">
        <v>635</v>
      </c>
      <c r="B29" s="3" t="s">
        <v>32</v>
      </c>
      <c r="C29" s="3" t="s">
        <v>32</v>
      </c>
      <c r="D29" s="2" t="s">
        <v>17</v>
      </c>
      <c r="E29" s="4">
        <v>2026.0</v>
      </c>
      <c r="F29" s="4">
        <v>1.0</v>
      </c>
      <c r="G29" s="3">
        <v>46041.0</v>
      </c>
      <c r="H29" s="2" t="s">
        <v>602</v>
      </c>
      <c r="I29" s="5" t="s">
        <v>188</v>
      </c>
      <c r="K29" s="5">
        <v>250000.0</v>
      </c>
      <c r="L29" s="2" t="s">
        <v>19</v>
      </c>
      <c r="M29" s="4">
        <v>41.0</v>
      </c>
      <c r="N29" s="4">
        <v>3.0</v>
      </c>
    </row>
    <row r="30">
      <c r="A30" s="2" t="s">
        <v>636</v>
      </c>
      <c r="B30" s="3" t="s">
        <v>32</v>
      </c>
      <c r="C30" s="3" t="s">
        <v>32</v>
      </c>
      <c r="D30" s="2" t="s">
        <v>17</v>
      </c>
      <c r="E30" s="4">
        <v>2026.0</v>
      </c>
      <c r="F30" s="4">
        <v>1.0</v>
      </c>
      <c r="G30" s="3">
        <v>46041.0</v>
      </c>
      <c r="H30" s="2" t="s">
        <v>607</v>
      </c>
      <c r="I30" s="5" t="s">
        <v>270</v>
      </c>
      <c r="J30" s="2" t="s">
        <v>271</v>
      </c>
      <c r="K30" s="5">
        <v>6400000.0</v>
      </c>
      <c r="L30" s="2" t="s">
        <v>19</v>
      </c>
      <c r="M30" s="4">
        <v>42.0</v>
      </c>
      <c r="N30" s="4">
        <v>3.0</v>
      </c>
    </row>
    <row r="31">
      <c r="A31" s="2" t="s">
        <v>637</v>
      </c>
      <c r="B31" s="3" t="s">
        <v>32</v>
      </c>
      <c r="C31" s="3" t="s">
        <v>32</v>
      </c>
      <c r="D31" s="2" t="s">
        <v>17</v>
      </c>
      <c r="E31" s="4">
        <v>2026.0</v>
      </c>
      <c r="F31" s="4">
        <v>1.0</v>
      </c>
      <c r="G31" s="3">
        <v>46041.0</v>
      </c>
      <c r="H31" s="2" t="s">
        <v>607</v>
      </c>
      <c r="I31" s="5" t="s">
        <v>197</v>
      </c>
      <c r="K31" s="5">
        <v>3200000.0</v>
      </c>
      <c r="L31" s="2" t="s">
        <v>19</v>
      </c>
      <c r="M31" s="4">
        <v>43.0</v>
      </c>
      <c r="N31" s="4">
        <v>3.0</v>
      </c>
    </row>
    <row r="32">
      <c r="A32" s="2" t="s">
        <v>638</v>
      </c>
      <c r="B32" s="3" t="s">
        <v>32</v>
      </c>
      <c r="C32" s="3" t="s">
        <v>32</v>
      </c>
      <c r="D32" s="2" t="s">
        <v>17</v>
      </c>
      <c r="E32" s="4">
        <v>2026.0</v>
      </c>
      <c r="F32" s="4">
        <v>1.0</v>
      </c>
      <c r="G32" s="3">
        <v>46041.0</v>
      </c>
      <c r="H32" s="2" t="s">
        <v>607</v>
      </c>
      <c r="I32" s="5" t="s">
        <v>275</v>
      </c>
      <c r="K32" s="5">
        <v>400000.0</v>
      </c>
      <c r="L32" s="2" t="s">
        <v>19</v>
      </c>
      <c r="M32" s="4">
        <v>44.0</v>
      </c>
      <c r="N32" s="4">
        <v>3.0</v>
      </c>
    </row>
    <row r="33">
      <c r="A33" s="2" t="s">
        <v>639</v>
      </c>
      <c r="B33" s="3" t="s">
        <v>32</v>
      </c>
      <c r="C33" s="3" t="s">
        <v>32</v>
      </c>
      <c r="D33" s="2" t="s">
        <v>17</v>
      </c>
      <c r="E33" s="4">
        <v>2026.0</v>
      </c>
      <c r="F33" s="4">
        <v>1.0</v>
      </c>
      <c r="G33" s="3">
        <v>46041.0</v>
      </c>
      <c r="H33" s="2" t="s">
        <v>610</v>
      </c>
      <c r="I33" s="5" t="s">
        <v>200</v>
      </c>
      <c r="J33" s="2" t="s">
        <v>277</v>
      </c>
      <c r="K33" s="5">
        <v>220000.0</v>
      </c>
      <c r="L33" s="2" t="s">
        <v>19</v>
      </c>
      <c r="M33" s="4">
        <v>45.0</v>
      </c>
      <c r="N33" s="4">
        <v>3.0</v>
      </c>
    </row>
    <row r="34">
      <c r="A34" s="2" t="s">
        <v>640</v>
      </c>
      <c r="B34" s="3" t="s">
        <v>32</v>
      </c>
      <c r="C34" s="3" t="s">
        <v>32</v>
      </c>
      <c r="D34" s="2" t="s">
        <v>17</v>
      </c>
      <c r="E34" s="4">
        <v>2026.0</v>
      </c>
      <c r="F34" s="4">
        <v>1.0</v>
      </c>
      <c r="G34" s="3">
        <v>46041.0</v>
      </c>
      <c r="H34" s="2" t="s">
        <v>626</v>
      </c>
      <c r="I34" s="5" t="s">
        <v>279</v>
      </c>
      <c r="K34" s="5">
        <v>150000.0</v>
      </c>
      <c r="L34" s="2" t="s">
        <v>19</v>
      </c>
      <c r="M34" s="4">
        <v>46.0</v>
      </c>
      <c r="N34" s="4">
        <v>3.0</v>
      </c>
    </row>
    <row r="35">
      <c r="A35" s="2" t="s">
        <v>641</v>
      </c>
      <c r="B35" s="3" t="s">
        <v>32</v>
      </c>
      <c r="C35" s="3" t="s">
        <v>32</v>
      </c>
      <c r="D35" s="2" t="s">
        <v>17</v>
      </c>
      <c r="E35" s="4">
        <v>2026.0</v>
      </c>
      <c r="F35" s="4">
        <v>1.0</v>
      </c>
      <c r="G35" s="3">
        <v>46041.0</v>
      </c>
      <c r="H35" s="2" t="s">
        <v>610</v>
      </c>
      <c r="I35" s="5" t="s">
        <v>281</v>
      </c>
      <c r="K35" s="5">
        <v>1785000.0</v>
      </c>
      <c r="L35" s="2" t="s">
        <v>19</v>
      </c>
      <c r="M35" s="4">
        <v>47.0</v>
      </c>
      <c r="N35" s="4">
        <v>3.0</v>
      </c>
    </row>
    <row r="36">
      <c r="A36" s="2" t="s">
        <v>642</v>
      </c>
      <c r="B36" s="3" t="s">
        <v>32</v>
      </c>
      <c r="C36" s="3" t="s">
        <v>32</v>
      </c>
      <c r="D36" s="2" t="s">
        <v>17</v>
      </c>
      <c r="E36" s="4">
        <v>2026.0</v>
      </c>
      <c r="F36" s="4">
        <v>1.0</v>
      </c>
      <c r="G36" s="3">
        <v>46041.0</v>
      </c>
      <c r="H36" s="2" t="s">
        <v>613</v>
      </c>
      <c r="I36" s="5" t="s">
        <v>283</v>
      </c>
      <c r="J36" s="2" t="s">
        <v>284</v>
      </c>
      <c r="K36" s="5">
        <v>5800000.0</v>
      </c>
      <c r="L36" s="2" t="s">
        <v>19</v>
      </c>
      <c r="M36" s="4">
        <v>48.0</v>
      </c>
      <c r="N36" s="4">
        <v>3.0</v>
      </c>
    </row>
    <row r="37">
      <c r="A37" s="2" t="s">
        <v>643</v>
      </c>
      <c r="B37" s="3" t="s">
        <v>32</v>
      </c>
      <c r="C37" s="3" t="s">
        <v>32</v>
      </c>
      <c r="D37" s="2" t="s">
        <v>17</v>
      </c>
      <c r="E37" s="4">
        <v>2026.0</v>
      </c>
      <c r="F37" s="4">
        <v>1.0</v>
      </c>
      <c r="G37" s="3">
        <v>46041.0</v>
      </c>
      <c r="H37" s="2" t="s">
        <v>602</v>
      </c>
      <c r="I37" s="5" t="s">
        <v>243</v>
      </c>
      <c r="K37" s="5">
        <v>750000.0</v>
      </c>
      <c r="L37" s="2" t="s">
        <v>19</v>
      </c>
      <c r="M37" s="4">
        <v>49.0</v>
      </c>
      <c r="N37" s="4">
        <v>3.0</v>
      </c>
    </row>
    <row r="38">
      <c r="A38" s="2" t="s">
        <v>644</v>
      </c>
      <c r="B38" s="3" t="s">
        <v>42</v>
      </c>
      <c r="C38" s="3" t="s">
        <v>42</v>
      </c>
      <c r="D38" s="2" t="s">
        <v>17</v>
      </c>
      <c r="E38" s="4">
        <v>2026.0</v>
      </c>
      <c r="F38" s="4">
        <v>2.0</v>
      </c>
      <c r="G38" s="3">
        <v>46055.0</v>
      </c>
      <c r="H38" s="2" t="s">
        <v>602</v>
      </c>
      <c r="I38" s="5" t="s">
        <v>169</v>
      </c>
      <c r="J38" s="2" t="s">
        <v>288</v>
      </c>
      <c r="K38" s="5">
        <v>2464080.0</v>
      </c>
      <c r="L38" s="2" t="s">
        <v>19</v>
      </c>
      <c r="M38" s="4">
        <v>56.0</v>
      </c>
      <c r="N38" s="4">
        <v>1.0</v>
      </c>
    </row>
    <row r="39">
      <c r="A39" s="2" t="s">
        <v>645</v>
      </c>
      <c r="B39" s="3" t="s">
        <v>42</v>
      </c>
      <c r="C39" s="3" t="s">
        <v>42</v>
      </c>
      <c r="D39" s="2" t="s">
        <v>17</v>
      </c>
      <c r="E39" s="4">
        <v>2026.0</v>
      </c>
      <c r="F39" s="4">
        <v>2.0</v>
      </c>
      <c r="G39" s="3">
        <v>46055.0</v>
      </c>
      <c r="H39" s="2" t="s">
        <v>602</v>
      </c>
      <c r="I39" s="5" t="s">
        <v>176</v>
      </c>
      <c r="J39" s="2" t="s">
        <v>294</v>
      </c>
      <c r="K39" s="5">
        <v>3490780.0</v>
      </c>
      <c r="L39" s="2" t="s">
        <v>19</v>
      </c>
      <c r="M39" s="4">
        <v>57.0</v>
      </c>
      <c r="N39" s="4">
        <v>1.0</v>
      </c>
    </row>
    <row r="40">
      <c r="A40" s="2" t="s">
        <v>646</v>
      </c>
      <c r="B40" s="3" t="s">
        <v>42</v>
      </c>
      <c r="C40" s="3" t="s">
        <v>42</v>
      </c>
      <c r="D40" s="2" t="s">
        <v>17</v>
      </c>
      <c r="E40" s="4">
        <v>2026.0</v>
      </c>
      <c r="F40" s="4">
        <v>2.0</v>
      </c>
      <c r="G40" s="3">
        <v>46055.0</v>
      </c>
      <c r="H40" s="2" t="s">
        <v>602</v>
      </c>
      <c r="I40" s="5" t="s">
        <v>183</v>
      </c>
      <c r="K40" s="5">
        <v>700000.0</v>
      </c>
      <c r="L40" s="2" t="s">
        <v>19</v>
      </c>
      <c r="M40" s="4">
        <v>58.0</v>
      </c>
      <c r="N40" s="4">
        <v>1.0</v>
      </c>
    </row>
    <row r="41">
      <c r="A41" s="2" t="s">
        <v>647</v>
      </c>
      <c r="B41" s="3" t="s">
        <v>42</v>
      </c>
      <c r="C41" s="3" t="s">
        <v>42</v>
      </c>
      <c r="D41" s="2" t="s">
        <v>17</v>
      </c>
      <c r="E41" s="4">
        <v>2026.0</v>
      </c>
      <c r="F41" s="4">
        <v>2.0</v>
      </c>
      <c r="G41" s="3">
        <v>46055.0</v>
      </c>
      <c r="H41" s="2" t="s">
        <v>602</v>
      </c>
      <c r="I41" s="5" t="s">
        <v>188</v>
      </c>
      <c r="K41" s="5">
        <v>200000.0</v>
      </c>
      <c r="L41" s="2" t="s">
        <v>19</v>
      </c>
      <c r="M41" s="4">
        <v>59.0</v>
      </c>
      <c r="N41" s="4">
        <v>1.0</v>
      </c>
    </row>
    <row r="42">
      <c r="A42" s="2" t="s">
        <v>648</v>
      </c>
      <c r="B42" s="3" t="s">
        <v>42</v>
      </c>
      <c r="C42" s="3" t="s">
        <v>42</v>
      </c>
      <c r="D42" s="2" t="s">
        <v>17</v>
      </c>
      <c r="E42" s="4">
        <v>2026.0</v>
      </c>
      <c r="F42" s="4">
        <v>2.0</v>
      </c>
      <c r="G42" s="3">
        <v>46055.0</v>
      </c>
      <c r="H42" s="2" t="s">
        <v>607</v>
      </c>
      <c r="I42" s="5" t="s">
        <v>302</v>
      </c>
      <c r="J42" s="2" t="s">
        <v>303</v>
      </c>
      <c r="K42" s="5">
        <v>1.512E7</v>
      </c>
      <c r="L42" s="2" t="s">
        <v>19</v>
      </c>
      <c r="M42" s="4">
        <v>60.0</v>
      </c>
      <c r="N42" s="4">
        <v>1.0</v>
      </c>
    </row>
    <row r="43">
      <c r="A43" s="2" t="s">
        <v>649</v>
      </c>
      <c r="B43" s="3" t="s">
        <v>42</v>
      </c>
      <c r="C43" s="3" t="s">
        <v>42</v>
      </c>
      <c r="D43" s="2" t="s">
        <v>17</v>
      </c>
      <c r="E43" s="4">
        <v>2026.0</v>
      </c>
      <c r="F43" s="4">
        <v>2.0</v>
      </c>
      <c r="G43" s="3">
        <v>46055.0</v>
      </c>
      <c r="H43" s="2" t="s">
        <v>607</v>
      </c>
      <c r="I43" s="5" t="s">
        <v>197</v>
      </c>
      <c r="J43" s="2" t="s">
        <v>305</v>
      </c>
      <c r="K43" s="5">
        <v>3150000.0</v>
      </c>
      <c r="L43" s="2" t="s">
        <v>19</v>
      </c>
      <c r="M43" s="4">
        <v>61.0</v>
      </c>
      <c r="N43" s="4">
        <v>1.0</v>
      </c>
    </row>
    <row r="44">
      <c r="A44" s="2" t="s">
        <v>650</v>
      </c>
      <c r="B44" s="3" t="s">
        <v>42</v>
      </c>
      <c r="C44" s="3" t="s">
        <v>42</v>
      </c>
      <c r="D44" s="2" t="s">
        <v>17</v>
      </c>
      <c r="E44" s="4">
        <v>2026.0</v>
      </c>
      <c r="F44" s="4">
        <v>2.0</v>
      </c>
      <c r="G44" s="3">
        <v>46055.0</v>
      </c>
      <c r="H44" s="2" t="s">
        <v>607</v>
      </c>
      <c r="I44" s="5" t="s">
        <v>308</v>
      </c>
      <c r="J44" s="2" t="s">
        <v>309</v>
      </c>
      <c r="K44" s="5">
        <v>500000.0</v>
      </c>
      <c r="L44" s="2" t="s">
        <v>19</v>
      </c>
      <c r="M44" s="4">
        <v>62.0</v>
      </c>
      <c r="N44" s="4">
        <v>1.0</v>
      </c>
    </row>
    <row r="45">
      <c r="A45" s="2" t="s">
        <v>651</v>
      </c>
      <c r="B45" s="3" t="s">
        <v>42</v>
      </c>
      <c r="C45" s="3" t="s">
        <v>42</v>
      </c>
      <c r="D45" s="2" t="s">
        <v>17</v>
      </c>
      <c r="E45" s="4">
        <v>2026.0</v>
      </c>
      <c r="F45" s="4">
        <v>2.0</v>
      </c>
      <c r="G45" s="3">
        <v>46055.0</v>
      </c>
      <c r="H45" s="2" t="s">
        <v>622</v>
      </c>
      <c r="I45" s="5" t="s">
        <v>233</v>
      </c>
      <c r="K45" s="5">
        <v>4500000.0</v>
      </c>
      <c r="L45" s="2" t="s">
        <v>19</v>
      </c>
      <c r="M45" s="4">
        <v>63.0</v>
      </c>
      <c r="N45" s="4">
        <v>1.0</v>
      </c>
    </row>
    <row r="46">
      <c r="A46" s="2" t="s">
        <v>652</v>
      </c>
      <c r="B46" s="3" t="s">
        <v>42</v>
      </c>
      <c r="C46" s="3" t="s">
        <v>42</v>
      </c>
      <c r="D46" s="2" t="s">
        <v>17</v>
      </c>
      <c r="E46" s="4">
        <v>2026.0</v>
      </c>
      <c r="F46" s="4">
        <v>2.0</v>
      </c>
      <c r="G46" s="3">
        <v>46055.0</v>
      </c>
      <c r="H46" s="2" t="s">
        <v>613</v>
      </c>
      <c r="I46" s="5" t="s">
        <v>311</v>
      </c>
      <c r="K46" s="5">
        <v>2490000.0</v>
      </c>
      <c r="L46" s="2" t="s">
        <v>19</v>
      </c>
      <c r="M46" s="4">
        <v>64.0</v>
      </c>
      <c r="N46" s="4">
        <v>1.0</v>
      </c>
    </row>
    <row r="47">
      <c r="A47" s="2" t="s">
        <v>653</v>
      </c>
      <c r="B47" s="3" t="s">
        <v>42</v>
      </c>
      <c r="C47" s="3" t="s">
        <v>42</v>
      </c>
      <c r="D47" s="2" t="s">
        <v>17</v>
      </c>
      <c r="E47" s="4">
        <v>2026.0</v>
      </c>
      <c r="F47" s="4">
        <v>2.0</v>
      </c>
      <c r="G47" s="3">
        <v>46055.0</v>
      </c>
      <c r="H47" s="2" t="s">
        <v>610</v>
      </c>
      <c r="I47" s="5" t="s">
        <v>313</v>
      </c>
      <c r="K47" s="5">
        <v>5200000.0</v>
      </c>
      <c r="L47" s="2" t="s">
        <v>19</v>
      </c>
      <c r="M47" s="4">
        <v>65.0</v>
      </c>
      <c r="N47" s="4">
        <v>1.0</v>
      </c>
    </row>
    <row r="48">
      <c r="A48" s="2" t="s">
        <v>654</v>
      </c>
      <c r="B48" s="3" t="s">
        <v>42</v>
      </c>
      <c r="C48" s="3" t="s">
        <v>42</v>
      </c>
      <c r="D48" s="2" t="s">
        <v>17</v>
      </c>
      <c r="E48" s="4">
        <v>2026.0</v>
      </c>
      <c r="F48" s="4">
        <v>2.0</v>
      </c>
      <c r="G48" s="3">
        <v>46055.0</v>
      </c>
      <c r="H48" s="2" t="s">
        <v>237</v>
      </c>
      <c r="I48" s="5" t="s">
        <v>237</v>
      </c>
      <c r="J48" s="2" t="s">
        <v>315</v>
      </c>
      <c r="K48" s="5">
        <v>9500000.0</v>
      </c>
      <c r="L48" s="2" t="s">
        <v>19</v>
      </c>
      <c r="M48" s="4">
        <v>66.0</v>
      </c>
      <c r="N48" s="4">
        <v>1.0</v>
      </c>
    </row>
    <row r="49">
      <c r="A49" s="2" t="s">
        <v>655</v>
      </c>
      <c r="B49" s="3" t="s">
        <v>42</v>
      </c>
      <c r="C49" s="3" t="s">
        <v>42</v>
      </c>
      <c r="D49" s="2" t="s">
        <v>17</v>
      </c>
      <c r="E49" s="4">
        <v>2026.0</v>
      </c>
      <c r="F49" s="4">
        <v>2.0</v>
      </c>
      <c r="G49" s="3">
        <v>46055.0</v>
      </c>
      <c r="H49" s="2" t="s">
        <v>610</v>
      </c>
      <c r="I49" s="5" t="s">
        <v>246</v>
      </c>
      <c r="K49" s="5">
        <v>1500000.0</v>
      </c>
      <c r="L49" s="2" t="s">
        <v>19</v>
      </c>
      <c r="M49" s="4">
        <v>67.0</v>
      </c>
      <c r="N49" s="4">
        <v>1.0</v>
      </c>
    </row>
    <row r="50">
      <c r="A50" s="2" t="s">
        <v>656</v>
      </c>
      <c r="B50" s="3" t="s">
        <v>42</v>
      </c>
      <c r="C50" s="3" t="s">
        <v>42</v>
      </c>
      <c r="D50" s="2" t="s">
        <v>17</v>
      </c>
      <c r="E50" s="4">
        <v>2026.0</v>
      </c>
      <c r="F50" s="4">
        <v>2.0</v>
      </c>
      <c r="G50" s="3">
        <v>46055.0</v>
      </c>
      <c r="H50" s="2" t="s">
        <v>626</v>
      </c>
      <c r="I50" s="5" t="s">
        <v>248</v>
      </c>
      <c r="J50" s="2" t="s">
        <v>318</v>
      </c>
      <c r="K50" s="5">
        <v>560000.0</v>
      </c>
      <c r="L50" s="2" t="s">
        <v>19</v>
      </c>
      <c r="M50" s="4">
        <v>68.0</v>
      </c>
      <c r="N50" s="4">
        <v>1.0</v>
      </c>
    </row>
    <row r="51">
      <c r="A51" s="2" t="s">
        <v>657</v>
      </c>
      <c r="B51" s="3" t="s">
        <v>42</v>
      </c>
      <c r="C51" s="3" t="s">
        <v>42</v>
      </c>
      <c r="D51" s="2" t="s">
        <v>17</v>
      </c>
      <c r="E51" s="4">
        <v>2026.0</v>
      </c>
      <c r="F51" s="4">
        <v>2.0</v>
      </c>
      <c r="G51" s="3">
        <v>46055.0</v>
      </c>
      <c r="H51" s="2" t="s">
        <v>626</v>
      </c>
      <c r="I51" s="5" t="s">
        <v>239</v>
      </c>
      <c r="J51" s="2" t="s">
        <v>320</v>
      </c>
      <c r="K51" s="5">
        <v>7125000.0</v>
      </c>
      <c r="L51" s="2" t="s">
        <v>19</v>
      </c>
      <c r="M51" s="4">
        <v>69.0</v>
      </c>
      <c r="N51" s="4">
        <v>1.0</v>
      </c>
    </row>
    <row r="52">
      <c r="A52" s="2" t="s">
        <v>658</v>
      </c>
      <c r="B52" s="3" t="s">
        <v>42</v>
      </c>
      <c r="C52" s="3" t="s">
        <v>42</v>
      </c>
      <c r="D52" s="2" t="s">
        <v>17</v>
      </c>
      <c r="E52" s="4">
        <v>2026.0</v>
      </c>
      <c r="F52" s="4">
        <v>2.0</v>
      </c>
      <c r="G52" s="3">
        <v>46055.0</v>
      </c>
      <c r="H52" s="2" t="s">
        <v>613</v>
      </c>
      <c r="I52" s="5" t="s">
        <v>322</v>
      </c>
      <c r="K52" s="5">
        <v>1000000.0</v>
      </c>
      <c r="L52" s="2" t="s">
        <v>19</v>
      </c>
      <c r="M52" s="4">
        <v>70.0</v>
      </c>
      <c r="N52" s="4">
        <v>1.0</v>
      </c>
    </row>
    <row r="53">
      <c r="A53" s="2" t="s">
        <v>659</v>
      </c>
      <c r="B53" s="3" t="s">
        <v>46</v>
      </c>
      <c r="C53" s="3" t="s">
        <v>46</v>
      </c>
      <c r="D53" s="2" t="s">
        <v>17</v>
      </c>
      <c r="E53" s="4">
        <v>2026.0</v>
      </c>
      <c r="F53" s="4">
        <v>2.0</v>
      </c>
      <c r="G53" s="3">
        <v>46068.0</v>
      </c>
      <c r="H53" s="2" t="s">
        <v>602</v>
      </c>
      <c r="I53" s="5" t="s">
        <v>169</v>
      </c>
      <c r="J53" s="2" t="s">
        <v>327</v>
      </c>
      <c r="K53" s="5">
        <v>2001240.0</v>
      </c>
      <c r="L53" s="2" t="s">
        <v>19</v>
      </c>
      <c r="M53" s="4">
        <v>74.0</v>
      </c>
      <c r="N53" s="4">
        <v>2.0</v>
      </c>
    </row>
    <row r="54">
      <c r="A54" s="2" t="s">
        <v>660</v>
      </c>
      <c r="B54" s="3" t="s">
        <v>46</v>
      </c>
      <c r="C54" s="3" t="s">
        <v>46</v>
      </c>
      <c r="D54" s="2" t="s">
        <v>17</v>
      </c>
      <c r="E54" s="4">
        <v>2026.0</v>
      </c>
      <c r="F54" s="4">
        <v>2.0</v>
      </c>
      <c r="G54" s="3">
        <v>46068.0</v>
      </c>
      <c r="H54" s="2" t="s">
        <v>602</v>
      </c>
      <c r="I54" s="5" t="s">
        <v>176</v>
      </c>
      <c r="J54" s="2" t="s">
        <v>331</v>
      </c>
      <c r="K54" s="5">
        <v>2835090.0</v>
      </c>
      <c r="L54" s="2" t="s">
        <v>19</v>
      </c>
      <c r="M54" s="4">
        <v>75.0</v>
      </c>
      <c r="N54" s="4">
        <v>2.0</v>
      </c>
    </row>
    <row r="55">
      <c r="A55" s="2" t="s">
        <v>661</v>
      </c>
      <c r="B55" s="3" t="s">
        <v>46</v>
      </c>
      <c r="C55" s="3" t="s">
        <v>46</v>
      </c>
      <c r="D55" s="2" t="s">
        <v>17</v>
      </c>
      <c r="E55" s="4">
        <v>2026.0</v>
      </c>
      <c r="F55" s="4">
        <v>2.0</v>
      </c>
      <c r="G55" s="3">
        <v>46068.0</v>
      </c>
      <c r="H55" s="2" t="s">
        <v>602</v>
      </c>
      <c r="I55" s="5" t="s">
        <v>183</v>
      </c>
      <c r="K55" s="5">
        <v>700000.0</v>
      </c>
      <c r="L55" s="2" t="s">
        <v>19</v>
      </c>
      <c r="M55" s="4">
        <v>76.0</v>
      </c>
      <c r="N55" s="4">
        <v>2.0</v>
      </c>
    </row>
    <row r="56">
      <c r="A56" s="2" t="s">
        <v>662</v>
      </c>
      <c r="B56" s="3" t="s">
        <v>52</v>
      </c>
      <c r="C56" s="3" t="s">
        <v>52</v>
      </c>
      <c r="D56" s="2" t="s">
        <v>17</v>
      </c>
      <c r="E56" s="4">
        <v>2026.0</v>
      </c>
      <c r="F56" s="4">
        <v>2.0</v>
      </c>
      <c r="G56" s="3">
        <v>46068.0</v>
      </c>
      <c r="H56" s="2" t="s">
        <v>602</v>
      </c>
      <c r="I56" s="5" t="s">
        <v>188</v>
      </c>
      <c r="K56" s="5">
        <v>200000.0</v>
      </c>
      <c r="L56" s="2" t="s">
        <v>19</v>
      </c>
      <c r="M56" s="4">
        <v>77.0</v>
      </c>
      <c r="N56" s="4">
        <v>2.0</v>
      </c>
    </row>
    <row r="57">
      <c r="A57" s="2" t="s">
        <v>663</v>
      </c>
      <c r="B57" s="3" t="s">
        <v>52</v>
      </c>
      <c r="C57" s="3" t="s">
        <v>52</v>
      </c>
      <c r="D57" s="2" t="s">
        <v>17</v>
      </c>
      <c r="E57" s="4">
        <v>2026.0</v>
      </c>
      <c r="F57" s="4">
        <v>2.0</v>
      </c>
      <c r="G57" s="3">
        <v>46068.0</v>
      </c>
      <c r="H57" s="2" t="s">
        <v>607</v>
      </c>
      <c r="I57" s="5" t="s">
        <v>340</v>
      </c>
      <c r="J57" s="2" t="s">
        <v>341</v>
      </c>
      <c r="K57" s="5">
        <v>3.116E7</v>
      </c>
      <c r="L57" s="2" t="s">
        <v>19</v>
      </c>
      <c r="M57" s="4">
        <v>78.0</v>
      </c>
      <c r="N57" s="4">
        <v>2.0</v>
      </c>
    </row>
    <row r="58">
      <c r="A58" s="2" t="s">
        <v>664</v>
      </c>
      <c r="B58" s="3" t="s">
        <v>52</v>
      </c>
      <c r="C58" s="3" t="s">
        <v>52</v>
      </c>
      <c r="D58" s="2" t="s">
        <v>17</v>
      </c>
      <c r="E58" s="4">
        <v>2026.0</v>
      </c>
      <c r="F58" s="4">
        <v>2.0</v>
      </c>
      <c r="G58" s="3">
        <v>46068.0</v>
      </c>
      <c r="H58" s="2" t="s">
        <v>607</v>
      </c>
      <c r="I58" s="5" t="s">
        <v>197</v>
      </c>
      <c r="J58" s="2" t="s">
        <v>343</v>
      </c>
      <c r="K58" s="5">
        <v>2225000.0</v>
      </c>
      <c r="L58" s="2" t="s">
        <v>19</v>
      </c>
      <c r="M58" s="4">
        <v>79.0</v>
      </c>
      <c r="N58" s="4">
        <v>2.0</v>
      </c>
    </row>
    <row r="59">
      <c r="A59" s="2" t="s">
        <v>665</v>
      </c>
      <c r="B59" s="3" t="s">
        <v>52</v>
      </c>
      <c r="C59" s="3" t="s">
        <v>52</v>
      </c>
      <c r="D59" s="2" t="s">
        <v>17</v>
      </c>
      <c r="E59" s="4">
        <v>2026.0</v>
      </c>
      <c r="F59" s="4">
        <v>2.0</v>
      </c>
      <c r="G59" s="3">
        <v>46068.0</v>
      </c>
      <c r="H59" s="2" t="s">
        <v>607</v>
      </c>
      <c r="I59" s="5" t="s">
        <v>308</v>
      </c>
      <c r="J59" s="2" t="s">
        <v>309</v>
      </c>
      <c r="K59" s="5">
        <v>500000.0</v>
      </c>
      <c r="L59" s="2" t="s">
        <v>19</v>
      </c>
      <c r="M59" s="4">
        <v>80.0</v>
      </c>
      <c r="N59" s="4">
        <v>2.0</v>
      </c>
    </row>
    <row r="60">
      <c r="A60" s="2" t="s">
        <v>666</v>
      </c>
      <c r="B60" s="3" t="s">
        <v>52</v>
      </c>
      <c r="C60" s="3" t="s">
        <v>52</v>
      </c>
      <c r="D60" s="2" t="s">
        <v>17</v>
      </c>
      <c r="E60" s="4">
        <v>2026.0</v>
      </c>
      <c r="F60" s="4">
        <v>2.0</v>
      </c>
      <c r="G60" s="3">
        <v>46068.0</v>
      </c>
      <c r="H60" s="2" t="s">
        <v>613</v>
      </c>
      <c r="I60" s="5" t="s">
        <v>347</v>
      </c>
      <c r="K60" s="5">
        <v>270000.0</v>
      </c>
      <c r="L60" s="2" t="s">
        <v>19</v>
      </c>
      <c r="M60" s="4">
        <v>81.0</v>
      </c>
      <c r="N60" s="4">
        <v>2.0</v>
      </c>
    </row>
    <row r="61">
      <c r="A61" s="2" t="s">
        <v>667</v>
      </c>
      <c r="B61" s="3" t="s">
        <v>52</v>
      </c>
      <c r="C61" s="3" t="s">
        <v>52</v>
      </c>
      <c r="D61" s="2" t="s">
        <v>17</v>
      </c>
      <c r="E61" s="4">
        <v>2026.0</v>
      </c>
      <c r="F61" s="4">
        <v>2.0</v>
      </c>
      <c r="G61" s="3">
        <v>46068.0</v>
      </c>
      <c r="H61" s="2" t="s">
        <v>610</v>
      </c>
      <c r="I61" s="5" t="s">
        <v>200</v>
      </c>
      <c r="K61" s="5">
        <v>220000.0</v>
      </c>
      <c r="L61" s="2" t="s">
        <v>19</v>
      </c>
      <c r="M61" s="4">
        <v>82.0</v>
      </c>
      <c r="N61" s="4">
        <v>2.0</v>
      </c>
    </row>
    <row r="62">
      <c r="A62" s="2" t="s">
        <v>668</v>
      </c>
      <c r="B62" s="3" t="s">
        <v>52</v>
      </c>
      <c r="C62" s="3" t="s">
        <v>52</v>
      </c>
      <c r="D62" s="2" t="s">
        <v>17</v>
      </c>
      <c r="E62" s="4">
        <v>2026.0</v>
      </c>
      <c r="F62" s="4">
        <v>2.0</v>
      </c>
      <c r="G62" s="3">
        <v>46068.0</v>
      </c>
      <c r="H62" s="2" t="s">
        <v>626</v>
      </c>
      <c r="I62" s="5" t="s">
        <v>239</v>
      </c>
      <c r="J62" s="2" t="s">
        <v>247</v>
      </c>
      <c r="K62" s="5">
        <v>400000.0</v>
      </c>
      <c r="L62" s="2" t="s">
        <v>19</v>
      </c>
      <c r="M62" s="4">
        <v>83.0</v>
      </c>
      <c r="N62" s="4">
        <v>2.0</v>
      </c>
    </row>
    <row r="63">
      <c r="A63" s="2" t="s">
        <v>669</v>
      </c>
      <c r="B63" s="3" t="s">
        <v>52</v>
      </c>
      <c r="C63" s="3" t="s">
        <v>52</v>
      </c>
      <c r="D63" s="2" t="s">
        <v>17</v>
      </c>
      <c r="E63" s="4">
        <v>2026.0</v>
      </c>
      <c r="F63" s="4">
        <v>2.0</v>
      </c>
      <c r="G63" s="3">
        <v>46068.0</v>
      </c>
      <c r="H63" s="2" t="s">
        <v>607</v>
      </c>
      <c r="I63" s="5" t="s">
        <v>340</v>
      </c>
      <c r="J63" s="2" t="s">
        <v>350</v>
      </c>
      <c r="K63" s="5">
        <v>5460000.0</v>
      </c>
      <c r="L63" s="2" t="s">
        <v>19</v>
      </c>
      <c r="M63" s="4">
        <v>84.0</v>
      </c>
      <c r="N63" s="4">
        <v>2.0</v>
      </c>
    </row>
    <row r="64">
      <c r="A64" s="2" t="s">
        <v>670</v>
      </c>
      <c r="B64" s="3" t="s">
        <v>52</v>
      </c>
      <c r="C64" s="3" t="s">
        <v>52</v>
      </c>
      <c r="D64" s="2" t="s">
        <v>17</v>
      </c>
      <c r="E64" s="4">
        <v>2026.0</v>
      </c>
      <c r="F64" s="4">
        <v>2.0</v>
      </c>
      <c r="G64" s="3">
        <v>46068.0</v>
      </c>
      <c r="H64" s="2" t="s">
        <v>613</v>
      </c>
      <c r="I64" s="5" t="s">
        <v>352</v>
      </c>
      <c r="K64" s="5">
        <v>2000000.0</v>
      </c>
      <c r="L64" s="2" t="s">
        <v>19</v>
      </c>
      <c r="M64" s="4">
        <v>85.0</v>
      </c>
      <c r="N64" s="4">
        <v>2.0</v>
      </c>
    </row>
    <row r="65">
      <c r="A65" s="2" t="s">
        <v>671</v>
      </c>
      <c r="B65" s="3" t="s">
        <v>52</v>
      </c>
      <c r="C65" s="3" t="s">
        <v>52</v>
      </c>
      <c r="D65" s="2" t="s">
        <v>17</v>
      </c>
      <c r="E65" s="4">
        <v>2026.0</v>
      </c>
      <c r="F65" s="4">
        <v>2.0</v>
      </c>
      <c r="G65" s="3">
        <v>46068.0</v>
      </c>
      <c r="H65" s="2" t="s">
        <v>237</v>
      </c>
      <c r="I65" s="5" t="s">
        <v>237</v>
      </c>
      <c r="J65" s="2" t="s">
        <v>353</v>
      </c>
      <c r="K65" s="5">
        <v>6000000.0</v>
      </c>
      <c r="L65" s="2" t="s">
        <v>19</v>
      </c>
      <c r="M65" s="4">
        <v>86.0</v>
      </c>
      <c r="N65" s="4">
        <v>2.0</v>
      </c>
    </row>
    <row r="66">
      <c r="A66" s="2" t="s">
        <v>672</v>
      </c>
      <c r="B66" s="3" t="s">
        <v>52</v>
      </c>
      <c r="C66" s="3" t="s">
        <v>52</v>
      </c>
      <c r="D66" s="2" t="s">
        <v>17</v>
      </c>
      <c r="E66" s="4">
        <v>2026.0</v>
      </c>
      <c r="F66" s="4">
        <v>2.0</v>
      </c>
      <c r="G66" s="3">
        <v>46068.0</v>
      </c>
      <c r="H66" s="2" t="s">
        <v>613</v>
      </c>
      <c r="I66" s="5" t="s">
        <v>355</v>
      </c>
      <c r="K66" s="5">
        <v>2000000.0</v>
      </c>
      <c r="L66" s="2" t="s">
        <v>19</v>
      </c>
      <c r="M66" s="4">
        <v>87.0</v>
      </c>
      <c r="N66" s="4">
        <v>2.0</v>
      </c>
    </row>
    <row r="67">
      <c r="A67" s="2" t="s">
        <v>673</v>
      </c>
      <c r="B67" s="3" t="s">
        <v>52</v>
      </c>
      <c r="C67" s="3" t="s">
        <v>52</v>
      </c>
      <c r="D67" s="2" t="s">
        <v>17</v>
      </c>
      <c r="E67" s="4">
        <v>2026.0</v>
      </c>
      <c r="F67" s="4">
        <v>2.0</v>
      </c>
      <c r="G67" s="3">
        <v>46068.0</v>
      </c>
      <c r="H67" s="2" t="s">
        <v>613</v>
      </c>
      <c r="I67" s="5" t="s">
        <v>211</v>
      </c>
      <c r="K67" s="5">
        <v>758000.0</v>
      </c>
      <c r="L67" s="2" t="s">
        <v>19</v>
      </c>
      <c r="M67" s="4">
        <v>88.0</v>
      </c>
      <c r="N67" s="4">
        <v>2.0</v>
      </c>
    </row>
    <row r="68">
      <c r="A68" s="2" t="s">
        <v>674</v>
      </c>
      <c r="B68" s="3" t="s">
        <v>54</v>
      </c>
      <c r="C68" s="3" t="s">
        <v>54</v>
      </c>
      <c r="D68" s="2" t="s">
        <v>17</v>
      </c>
      <c r="E68" s="4">
        <v>2026.0</v>
      </c>
      <c r="F68" s="4">
        <v>3.0</v>
      </c>
      <c r="G68" s="3">
        <v>46094.0</v>
      </c>
      <c r="H68" s="2" t="s">
        <v>602</v>
      </c>
      <c r="I68" s="5" t="s">
        <v>169</v>
      </c>
      <c r="J68" s="2" t="s">
        <v>358</v>
      </c>
      <c r="K68" s="5">
        <v>3624480.0</v>
      </c>
      <c r="L68" s="2" t="s">
        <v>19</v>
      </c>
      <c r="M68" s="4">
        <v>92.0</v>
      </c>
      <c r="N68" s="4">
        <v>1.0</v>
      </c>
    </row>
    <row r="69">
      <c r="A69" s="2" t="s">
        <v>675</v>
      </c>
      <c r="B69" s="3" t="s">
        <v>54</v>
      </c>
      <c r="C69" s="3" t="s">
        <v>54</v>
      </c>
      <c r="D69" s="2" t="s">
        <v>17</v>
      </c>
      <c r="E69" s="4">
        <v>2026.0</v>
      </c>
      <c r="F69" s="4">
        <v>3.0</v>
      </c>
      <c r="G69" s="3">
        <v>46094.0</v>
      </c>
      <c r="H69" s="2" t="s">
        <v>602</v>
      </c>
      <c r="I69" s="5" t="s">
        <v>176</v>
      </c>
      <c r="J69" s="2" t="s">
        <v>362</v>
      </c>
      <c r="K69" s="5">
        <v>5134680.0</v>
      </c>
      <c r="L69" s="2" t="s">
        <v>19</v>
      </c>
      <c r="M69" s="4">
        <v>93.0</v>
      </c>
      <c r="N69" s="4">
        <v>1.0</v>
      </c>
    </row>
    <row r="70">
      <c r="A70" s="2" t="s">
        <v>676</v>
      </c>
      <c r="B70" s="3" t="s">
        <v>54</v>
      </c>
      <c r="C70" s="3" t="s">
        <v>54</v>
      </c>
      <c r="D70" s="2" t="s">
        <v>17</v>
      </c>
      <c r="E70" s="4">
        <v>2026.0</v>
      </c>
      <c r="F70" s="4">
        <v>3.0</v>
      </c>
      <c r="G70" s="3">
        <v>46094.0</v>
      </c>
      <c r="H70" s="2" t="s">
        <v>602</v>
      </c>
      <c r="I70" s="5" t="s">
        <v>183</v>
      </c>
      <c r="K70" s="5">
        <v>1400000.0</v>
      </c>
      <c r="L70" s="2" t="s">
        <v>19</v>
      </c>
      <c r="M70" s="4">
        <v>94.0</v>
      </c>
      <c r="N70" s="4">
        <v>1.0</v>
      </c>
    </row>
    <row r="71">
      <c r="A71" s="2" t="s">
        <v>677</v>
      </c>
      <c r="B71" s="3" t="s">
        <v>59</v>
      </c>
      <c r="C71" s="3" t="s">
        <v>59</v>
      </c>
      <c r="D71" s="2" t="s">
        <v>17</v>
      </c>
      <c r="E71" s="4">
        <v>2026.0</v>
      </c>
      <c r="F71" s="4">
        <v>3.0</v>
      </c>
      <c r="G71" s="3">
        <v>46094.0</v>
      </c>
      <c r="H71" s="2" t="s">
        <v>602</v>
      </c>
      <c r="I71" s="5" t="s">
        <v>188</v>
      </c>
      <c r="K71" s="5">
        <v>300000.0</v>
      </c>
      <c r="L71" s="2" t="s">
        <v>19</v>
      </c>
      <c r="M71" s="4">
        <v>95.0</v>
      </c>
      <c r="N71" s="4">
        <v>1.0</v>
      </c>
    </row>
    <row r="72">
      <c r="A72" s="2" t="s">
        <v>678</v>
      </c>
      <c r="B72" s="3" t="s">
        <v>59</v>
      </c>
      <c r="C72" s="3" t="s">
        <v>59</v>
      </c>
      <c r="D72" s="2" t="s">
        <v>17</v>
      </c>
      <c r="E72" s="4">
        <v>2026.0</v>
      </c>
      <c r="F72" s="4">
        <v>3.0</v>
      </c>
      <c r="G72" s="3">
        <v>46094.0</v>
      </c>
      <c r="H72" s="2" t="s">
        <v>607</v>
      </c>
      <c r="I72" s="5" t="s">
        <v>373</v>
      </c>
      <c r="J72" s="2" t="s">
        <v>247</v>
      </c>
      <c r="K72" s="5">
        <v>1200000.0</v>
      </c>
      <c r="L72" s="2" t="s">
        <v>19</v>
      </c>
      <c r="M72" s="4">
        <v>96.0</v>
      </c>
      <c r="N72" s="4">
        <v>1.0</v>
      </c>
    </row>
    <row r="73">
      <c r="A73" s="2" t="s">
        <v>679</v>
      </c>
      <c r="B73" s="3" t="s">
        <v>59</v>
      </c>
      <c r="C73" s="3" t="s">
        <v>59</v>
      </c>
      <c r="D73" s="2" t="s">
        <v>17</v>
      </c>
      <c r="E73" s="4">
        <v>2026.0</v>
      </c>
      <c r="F73" s="4">
        <v>3.0</v>
      </c>
      <c r="G73" s="3">
        <v>46094.0</v>
      </c>
      <c r="H73" s="2" t="s">
        <v>626</v>
      </c>
      <c r="I73" s="5" t="s">
        <v>239</v>
      </c>
      <c r="J73" s="2" t="s">
        <v>247</v>
      </c>
      <c r="K73" s="5">
        <v>1800000.0</v>
      </c>
      <c r="L73" s="2" t="s">
        <v>19</v>
      </c>
      <c r="M73" s="4">
        <v>97.0</v>
      </c>
      <c r="N73" s="4">
        <v>1.0</v>
      </c>
    </row>
    <row r="74">
      <c r="A74" s="2" t="s">
        <v>680</v>
      </c>
      <c r="B74" s="3" t="s">
        <v>59</v>
      </c>
      <c r="C74" s="3" t="s">
        <v>59</v>
      </c>
      <c r="D74" s="2" t="s">
        <v>17</v>
      </c>
      <c r="E74" s="4">
        <v>2026.0</v>
      </c>
      <c r="F74" s="4">
        <v>3.0</v>
      </c>
      <c r="G74" s="3">
        <v>46094.0</v>
      </c>
      <c r="H74" s="2" t="s">
        <v>610</v>
      </c>
      <c r="I74" s="5" t="s">
        <v>200</v>
      </c>
      <c r="K74" s="5">
        <v>220000.0</v>
      </c>
      <c r="L74" s="2" t="s">
        <v>19</v>
      </c>
      <c r="M74" s="4">
        <v>98.0</v>
      </c>
      <c r="N74" s="4">
        <v>1.0</v>
      </c>
    </row>
    <row r="75">
      <c r="A75" s="2" t="s">
        <v>681</v>
      </c>
      <c r="B75" s="3" t="s">
        <v>59</v>
      </c>
      <c r="C75" s="3" t="s">
        <v>59</v>
      </c>
      <c r="D75" s="2" t="s">
        <v>17</v>
      </c>
      <c r="E75" s="4">
        <v>2026.0</v>
      </c>
      <c r="F75" s="4">
        <v>3.0</v>
      </c>
      <c r="G75" s="3">
        <v>46094.0</v>
      </c>
      <c r="H75" s="2" t="s">
        <v>613</v>
      </c>
      <c r="I75" s="5" t="s">
        <v>355</v>
      </c>
      <c r="K75" s="5">
        <v>3000000.0</v>
      </c>
      <c r="L75" s="2" t="s">
        <v>19</v>
      </c>
      <c r="M75" s="4">
        <v>99.0</v>
      </c>
      <c r="N75" s="4">
        <v>1.0</v>
      </c>
    </row>
    <row r="76">
      <c r="A76" s="2" t="s">
        <v>682</v>
      </c>
      <c r="B76" s="3" t="s">
        <v>59</v>
      </c>
      <c r="C76" s="3" t="s">
        <v>59</v>
      </c>
      <c r="D76" s="2" t="s">
        <v>17</v>
      </c>
      <c r="E76" s="4">
        <v>2026.0</v>
      </c>
      <c r="F76" s="4">
        <v>3.0</v>
      </c>
      <c r="G76" s="3">
        <v>46094.0</v>
      </c>
      <c r="H76" s="2" t="s">
        <v>613</v>
      </c>
      <c r="I76" s="5" t="s">
        <v>382</v>
      </c>
      <c r="K76" s="5">
        <v>1098000.0</v>
      </c>
      <c r="L76" s="2" t="s">
        <v>19</v>
      </c>
      <c r="M76" s="4">
        <v>100.0</v>
      </c>
      <c r="N76" s="4">
        <v>1.0</v>
      </c>
    </row>
    <row r="77">
      <c r="A77" s="2" t="s">
        <v>683</v>
      </c>
      <c r="B77" s="3" t="s">
        <v>59</v>
      </c>
      <c r="C77" s="3" t="s">
        <v>59</v>
      </c>
      <c r="D77" s="2" t="s">
        <v>17</v>
      </c>
      <c r="E77" s="4">
        <v>2026.0</v>
      </c>
      <c r="F77" s="4">
        <v>3.0</v>
      </c>
      <c r="G77" s="3">
        <v>46094.0</v>
      </c>
      <c r="H77" s="2" t="s">
        <v>622</v>
      </c>
      <c r="I77" s="5" t="s">
        <v>233</v>
      </c>
      <c r="K77" s="5">
        <v>4500000.0</v>
      </c>
      <c r="L77" s="2" t="s">
        <v>19</v>
      </c>
      <c r="M77" s="4">
        <v>101.0</v>
      </c>
      <c r="N77" s="4">
        <v>1.0</v>
      </c>
    </row>
    <row r="78">
      <c r="A78" s="2" t="s">
        <v>684</v>
      </c>
      <c r="B78" s="3" t="s">
        <v>59</v>
      </c>
      <c r="C78" s="3" t="s">
        <v>59</v>
      </c>
      <c r="D78" s="2" t="s">
        <v>17</v>
      </c>
      <c r="E78" s="4">
        <v>2026.0</v>
      </c>
      <c r="F78" s="4">
        <v>3.0</v>
      </c>
      <c r="G78" s="3">
        <v>46094.0</v>
      </c>
      <c r="H78" s="2" t="s">
        <v>626</v>
      </c>
      <c r="I78" s="5" t="s">
        <v>239</v>
      </c>
      <c r="K78" s="5">
        <v>6375000.0</v>
      </c>
      <c r="L78" s="2" t="s">
        <v>19</v>
      </c>
      <c r="M78" s="4">
        <v>102.0</v>
      </c>
      <c r="N78" s="4">
        <v>1.0</v>
      </c>
    </row>
    <row r="79">
      <c r="A79" s="2" t="s">
        <v>685</v>
      </c>
      <c r="B79" s="3" t="s">
        <v>59</v>
      </c>
      <c r="C79" s="3" t="s">
        <v>59</v>
      </c>
      <c r="D79" s="2" t="s">
        <v>17</v>
      </c>
      <c r="E79" s="4">
        <v>2026.0</v>
      </c>
      <c r="F79" s="4">
        <v>3.0</v>
      </c>
      <c r="G79" s="3">
        <v>46094.0</v>
      </c>
      <c r="H79" s="2" t="s">
        <v>607</v>
      </c>
      <c r="I79" s="5" t="s">
        <v>192</v>
      </c>
      <c r="J79" s="2" t="s">
        <v>385</v>
      </c>
      <c r="K79" s="5">
        <v>1560000.0</v>
      </c>
      <c r="L79" s="2" t="s">
        <v>19</v>
      </c>
      <c r="M79" s="4">
        <v>103.0</v>
      </c>
      <c r="N79" s="4">
        <v>1.0</v>
      </c>
    </row>
    <row r="80">
      <c r="A80" s="2" t="s">
        <v>686</v>
      </c>
      <c r="B80" s="3" t="s">
        <v>59</v>
      </c>
      <c r="C80" s="3" t="s">
        <v>59</v>
      </c>
      <c r="D80" s="2" t="s">
        <v>17</v>
      </c>
      <c r="E80" s="4">
        <v>2026.0</v>
      </c>
      <c r="F80" s="4">
        <v>3.0</v>
      </c>
      <c r="G80" s="3">
        <v>46094.0</v>
      </c>
      <c r="H80" s="2" t="s">
        <v>607</v>
      </c>
      <c r="I80" s="5" t="s">
        <v>387</v>
      </c>
      <c r="J80" s="2" t="s">
        <v>388</v>
      </c>
      <c r="K80" s="5">
        <v>1.4076E7</v>
      </c>
      <c r="L80" s="2" t="s">
        <v>19</v>
      </c>
      <c r="M80" s="4">
        <v>104.0</v>
      </c>
      <c r="N80" s="4">
        <v>1.0</v>
      </c>
    </row>
    <row r="81">
      <c r="A81" s="2" t="s">
        <v>687</v>
      </c>
      <c r="B81" s="3" t="s">
        <v>59</v>
      </c>
      <c r="C81" s="3" t="s">
        <v>59</v>
      </c>
      <c r="D81" s="2" t="s">
        <v>17</v>
      </c>
      <c r="E81" s="4">
        <v>2026.0</v>
      </c>
      <c r="F81" s="4">
        <v>3.0</v>
      </c>
      <c r="G81" s="3">
        <v>46094.0</v>
      </c>
      <c r="H81" s="2" t="s">
        <v>607</v>
      </c>
      <c r="I81" s="5" t="s">
        <v>391</v>
      </c>
      <c r="K81" s="5">
        <v>400000.0</v>
      </c>
      <c r="L81" s="2" t="s">
        <v>19</v>
      </c>
      <c r="M81" s="4">
        <v>105.0</v>
      </c>
      <c r="N81" s="4">
        <v>1.0</v>
      </c>
    </row>
    <row r="82">
      <c r="A82" s="2" t="s">
        <v>688</v>
      </c>
      <c r="B82" s="3" t="s">
        <v>59</v>
      </c>
      <c r="C82" s="3" t="s">
        <v>59</v>
      </c>
      <c r="D82" s="2" t="s">
        <v>17</v>
      </c>
      <c r="E82" s="4">
        <v>2026.0</v>
      </c>
      <c r="F82" s="4">
        <v>3.0</v>
      </c>
      <c r="G82" s="3">
        <v>46094.0</v>
      </c>
      <c r="H82" s="2" t="s">
        <v>613</v>
      </c>
      <c r="I82" s="5" t="s">
        <v>392</v>
      </c>
      <c r="K82" s="5">
        <v>7500000.0</v>
      </c>
      <c r="L82" s="2" t="s">
        <v>19</v>
      </c>
      <c r="M82" s="4">
        <v>106.0</v>
      </c>
      <c r="N82" s="4">
        <v>1.0</v>
      </c>
    </row>
    <row r="83">
      <c r="A83" s="2" t="s">
        <v>689</v>
      </c>
      <c r="B83" s="3" t="s">
        <v>59</v>
      </c>
      <c r="C83" s="3" t="s">
        <v>59</v>
      </c>
      <c r="D83" s="2" t="s">
        <v>17</v>
      </c>
      <c r="E83" s="4">
        <v>2026.0</v>
      </c>
      <c r="F83" s="4">
        <v>3.0</v>
      </c>
      <c r="G83" s="3">
        <v>46094.0</v>
      </c>
      <c r="H83" s="2" t="s">
        <v>613</v>
      </c>
      <c r="I83" s="5" t="s">
        <v>394</v>
      </c>
      <c r="K83" s="5">
        <v>2133000.0</v>
      </c>
      <c r="L83" s="2" t="s">
        <v>19</v>
      </c>
      <c r="M83" s="4">
        <v>107.0</v>
      </c>
      <c r="N83" s="4">
        <v>1.0</v>
      </c>
    </row>
    <row r="84">
      <c r="A84" s="2" t="s">
        <v>690</v>
      </c>
      <c r="B84" s="3" t="s">
        <v>63</v>
      </c>
      <c r="C84" s="3" t="s">
        <v>63</v>
      </c>
      <c r="D84" s="2" t="s">
        <v>17</v>
      </c>
      <c r="E84" s="4">
        <v>2026.0</v>
      </c>
      <c r="F84" s="4">
        <v>3.0</v>
      </c>
      <c r="G84" s="3">
        <v>46108.0</v>
      </c>
      <c r="H84" s="2" t="s">
        <v>602</v>
      </c>
      <c r="I84" s="5" t="s">
        <v>169</v>
      </c>
      <c r="J84" s="2" t="s">
        <v>399</v>
      </c>
      <c r="K84" s="5">
        <v>2652720.0</v>
      </c>
      <c r="L84" s="2" t="s">
        <v>19</v>
      </c>
      <c r="M84" s="4">
        <v>110.0</v>
      </c>
      <c r="N84" s="4">
        <v>2.0</v>
      </c>
    </row>
    <row r="85">
      <c r="A85" s="2" t="s">
        <v>691</v>
      </c>
      <c r="B85" s="3" t="s">
        <v>63</v>
      </c>
      <c r="C85" s="3" t="s">
        <v>63</v>
      </c>
      <c r="D85" s="2" t="s">
        <v>17</v>
      </c>
      <c r="E85" s="4">
        <v>2026.0</v>
      </c>
      <c r="F85" s="4">
        <v>3.0</v>
      </c>
      <c r="G85" s="3">
        <v>46108.0</v>
      </c>
      <c r="H85" s="2" t="s">
        <v>602</v>
      </c>
      <c r="I85" s="5" t="s">
        <v>176</v>
      </c>
      <c r="J85" s="2" t="s">
        <v>403</v>
      </c>
      <c r="K85" s="5">
        <v>3758020.0</v>
      </c>
      <c r="L85" s="2" t="s">
        <v>19</v>
      </c>
      <c r="M85" s="4">
        <v>111.0</v>
      </c>
      <c r="N85" s="4">
        <v>2.0</v>
      </c>
    </row>
    <row r="86">
      <c r="A86" s="2" t="s">
        <v>692</v>
      </c>
      <c r="B86" s="3" t="s">
        <v>63</v>
      </c>
      <c r="C86" s="3" t="s">
        <v>63</v>
      </c>
      <c r="D86" s="2" t="s">
        <v>17</v>
      </c>
      <c r="E86" s="4">
        <v>2026.0</v>
      </c>
      <c r="F86" s="4">
        <v>3.0</v>
      </c>
      <c r="G86" s="3">
        <v>46108.0</v>
      </c>
      <c r="H86" s="2" t="s">
        <v>602</v>
      </c>
      <c r="I86" s="5" t="s">
        <v>183</v>
      </c>
      <c r="K86" s="5">
        <v>700000.0</v>
      </c>
      <c r="L86" s="2" t="s">
        <v>19</v>
      </c>
      <c r="M86" s="4">
        <v>112.0</v>
      </c>
      <c r="N86" s="4">
        <v>2.0</v>
      </c>
    </row>
    <row r="87">
      <c r="A87" s="2" t="s">
        <v>693</v>
      </c>
      <c r="B87" s="3" t="s">
        <v>63</v>
      </c>
      <c r="C87" s="3" t="s">
        <v>63</v>
      </c>
      <c r="D87" s="2" t="s">
        <v>17</v>
      </c>
      <c r="E87" s="4">
        <v>2026.0</v>
      </c>
      <c r="F87" s="4">
        <v>3.0</v>
      </c>
      <c r="G87" s="3">
        <v>46108.0</v>
      </c>
      <c r="H87" s="2" t="s">
        <v>602</v>
      </c>
      <c r="I87" s="5" t="s">
        <v>188</v>
      </c>
      <c r="K87" s="5">
        <v>150000.0</v>
      </c>
      <c r="L87" s="2" t="s">
        <v>19</v>
      </c>
      <c r="M87" s="4">
        <v>113.0</v>
      </c>
      <c r="N87" s="4">
        <v>2.0</v>
      </c>
    </row>
    <row r="88">
      <c r="A88" s="2" t="s">
        <v>694</v>
      </c>
      <c r="B88" s="3" t="s">
        <v>63</v>
      </c>
      <c r="C88" s="3" t="s">
        <v>63</v>
      </c>
      <c r="D88" s="2" t="s">
        <v>17</v>
      </c>
      <c r="E88" s="4">
        <v>2026.0</v>
      </c>
      <c r="F88" s="4">
        <v>3.0</v>
      </c>
      <c r="G88" s="3">
        <v>46108.0</v>
      </c>
      <c r="H88" s="2" t="s">
        <v>610</v>
      </c>
      <c r="I88" s="5" t="s">
        <v>413</v>
      </c>
      <c r="K88" s="5">
        <v>220000.0</v>
      </c>
      <c r="L88" s="2" t="s">
        <v>19</v>
      </c>
      <c r="M88" s="4">
        <v>114.0</v>
      </c>
      <c r="N88" s="4">
        <v>2.0</v>
      </c>
    </row>
    <row r="89">
      <c r="A89" s="2" t="s">
        <v>695</v>
      </c>
      <c r="B89" s="3" t="s">
        <v>63</v>
      </c>
      <c r="C89" s="3" t="s">
        <v>63</v>
      </c>
      <c r="D89" s="2" t="s">
        <v>17</v>
      </c>
      <c r="E89" s="4">
        <v>2026.0</v>
      </c>
      <c r="F89" s="4">
        <v>3.0</v>
      </c>
      <c r="G89" s="3">
        <v>46108.0</v>
      </c>
      <c r="H89" s="2" t="s">
        <v>613</v>
      </c>
      <c r="I89" s="5" t="s">
        <v>414</v>
      </c>
      <c r="J89" s="2" t="s">
        <v>415</v>
      </c>
      <c r="K89" s="5">
        <v>1500000.0</v>
      </c>
      <c r="L89" s="2" t="s">
        <v>19</v>
      </c>
      <c r="M89" s="4">
        <v>115.0</v>
      </c>
      <c r="N89" s="4">
        <v>2.0</v>
      </c>
    </row>
    <row r="90">
      <c r="A90" s="2" t="s">
        <v>696</v>
      </c>
      <c r="B90" s="3" t="s">
        <v>63</v>
      </c>
      <c r="C90" s="3" t="s">
        <v>63</v>
      </c>
      <c r="D90" s="2" t="s">
        <v>17</v>
      </c>
      <c r="E90" s="4">
        <v>2026.0</v>
      </c>
      <c r="F90" s="4">
        <v>3.0</v>
      </c>
      <c r="G90" s="3">
        <v>46108.0</v>
      </c>
      <c r="H90" s="2" t="s">
        <v>607</v>
      </c>
      <c r="I90" s="5" t="s">
        <v>417</v>
      </c>
      <c r="J90" s="2" t="s">
        <v>418</v>
      </c>
      <c r="K90" s="5">
        <v>1.3846E7</v>
      </c>
      <c r="L90" s="2" t="s">
        <v>19</v>
      </c>
      <c r="M90" s="4">
        <v>116.0</v>
      </c>
      <c r="N90" s="4">
        <v>2.0</v>
      </c>
    </row>
    <row r="91">
      <c r="A91" s="2" t="s">
        <v>697</v>
      </c>
      <c r="B91" s="3" t="s">
        <v>63</v>
      </c>
      <c r="C91" s="3" t="s">
        <v>63</v>
      </c>
      <c r="D91" s="2" t="s">
        <v>17</v>
      </c>
      <c r="E91" s="4">
        <v>2026.0</v>
      </c>
      <c r="F91" s="4">
        <v>3.0</v>
      </c>
      <c r="G91" s="3">
        <v>46108.0</v>
      </c>
      <c r="H91" s="2" t="s">
        <v>607</v>
      </c>
      <c r="I91" s="5" t="s">
        <v>421</v>
      </c>
      <c r="K91" s="5">
        <v>450000.0</v>
      </c>
      <c r="L91" s="2" t="s">
        <v>19</v>
      </c>
      <c r="M91" s="4">
        <v>117.0</v>
      </c>
      <c r="N91" s="4">
        <v>2.0</v>
      </c>
    </row>
    <row r="92">
      <c r="A92" s="2" t="s">
        <v>698</v>
      </c>
      <c r="B92" s="3" t="s">
        <v>63</v>
      </c>
      <c r="C92" s="3" t="s">
        <v>63</v>
      </c>
      <c r="D92" s="2" t="s">
        <v>17</v>
      </c>
      <c r="E92" s="4">
        <v>2026.0</v>
      </c>
      <c r="F92" s="4">
        <v>3.0</v>
      </c>
      <c r="G92" s="3">
        <v>46108.0</v>
      </c>
      <c r="H92" s="2" t="s">
        <v>626</v>
      </c>
      <c r="I92" s="5" t="s">
        <v>239</v>
      </c>
      <c r="J92" s="2" t="s">
        <v>423</v>
      </c>
      <c r="K92" s="5">
        <v>1.2375E7</v>
      </c>
      <c r="L92" s="2" t="s">
        <v>19</v>
      </c>
      <c r="M92" s="4">
        <v>118.0</v>
      </c>
      <c r="N92" s="4">
        <v>2.0</v>
      </c>
    </row>
    <row r="93">
      <c r="A93" s="2" t="s">
        <v>699</v>
      </c>
      <c r="B93" s="3" t="s">
        <v>63</v>
      </c>
      <c r="C93" s="3" t="s">
        <v>63</v>
      </c>
      <c r="D93" s="2" t="s">
        <v>17</v>
      </c>
      <c r="E93" s="4">
        <v>2026.0</v>
      </c>
      <c r="F93" s="4">
        <v>3.0</v>
      </c>
      <c r="G93" s="3">
        <v>46108.0</v>
      </c>
      <c r="H93" s="2" t="s">
        <v>613</v>
      </c>
      <c r="I93" s="5" t="s">
        <v>425</v>
      </c>
      <c r="K93" s="5">
        <v>750000.0</v>
      </c>
      <c r="L93" s="2" t="s">
        <v>19</v>
      </c>
      <c r="M93" s="4">
        <v>119.0</v>
      </c>
      <c r="N93" s="4">
        <v>2.0</v>
      </c>
    </row>
    <row r="94">
      <c r="A94" s="2" t="s">
        <v>700</v>
      </c>
      <c r="B94" s="3" t="s">
        <v>63</v>
      </c>
      <c r="C94" s="3" t="s">
        <v>63</v>
      </c>
      <c r="D94" s="2" t="s">
        <v>17</v>
      </c>
      <c r="E94" s="4">
        <v>2026.0</v>
      </c>
      <c r="F94" s="4">
        <v>3.0</v>
      </c>
      <c r="G94" s="3">
        <v>46108.0</v>
      </c>
      <c r="H94" s="2" t="s">
        <v>622</v>
      </c>
      <c r="I94" s="5" t="s">
        <v>426</v>
      </c>
      <c r="K94" s="5">
        <v>4500000.0</v>
      </c>
      <c r="L94" s="2" t="s">
        <v>19</v>
      </c>
      <c r="M94" s="4">
        <v>120.0</v>
      </c>
      <c r="N94" s="4">
        <v>2.0</v>
      </c>
    </row>
    <row r="95">
      <c r="A95" s="2" t="s">
        <v>701</v>
      </c>
      <c r="B95" s="3" t="s">
        <v>63</v>
      </c>
      <c r="C95" s="3" t="s">
        <v>63</v>
      </c>
      <c r="D95" s="2" t="s">
        <v>17</v>
      </c>
      <c r="E95" s="4">
        <v>2026.0</v>
      </c>
      <c r="F95" s="4">
        <v>3.0</v>
      </c>
      <c r="G95" s="3">
        <v>46108.0</v>
      </c>
      <c r="H95" s="2" t="s">
        <v>607</v>
      </c>
      <c r="I95" s="5" t="s">
        <v>427</v>
      </c>
      <c r="K95" s="5">
        <v>350000.0</v>
      </c>
      <c r="L95" s="2" t="s">
        <v>19</v>
      </c>
      <c r="M95" s="4">
        <v>121.0</v>
      </c>
      <c r="N95" s="4">
        <v>2.0</v>
      </c>
    </row>
    <row r="96">
      <c r="A96" s="2" t="s">
        <v>702</v>
      </c>
      <c r="B96" s="3" t="s">
        <v>63</v>
      </c>
      <c r="C96" s="3" t="s">
        <v>63</v>
      </c>
      <c r="D96" s="2" t="s">
        <v>17</v>
      </c>
      <c r="E96" s="4">
        <v>2026.0</v>
      </c>
      <c r="F96" s="4">
        <v>3.0</v>
      </c>
      <c r="G96" s="3">
        <v>46108.0</v>
      </c>
      <c r="H96" s="2" t="s">
        <v>613</v>
      </c>
      <c r="I96" s="5" t="s">
        <v>235</v>
      </c>
      <c r="K96" s="5">
        <v>500000.0</v>
      </c>
      <c r="L96" s="2" t="s">
        <v>19</v>
      </c>
      <c r="M96" s="4">
        <v>122.0</v>
      </c>
      <c r="N96" s="4">
        <v>2.0</v>
      </c>
    </row>
    <row r="97">
      <c r="A97" s="2" t="s">
        <v>703</v>
      </c>
      <c r="B97" s="3" t="s">
        <v>63</v>
      </c>
      <c r="C97" s="3" t="s">
        <v>63</v>
      </c>
      <c r="D97" s="2" t="s">
        <v>17</v>
      </c>
      <c r="E97" s="4">
        <v>2026.0</v>
      </c>
      <c r="F97" s="4">
        <v>3.0</v>
      </c>
      <c r="G97" s="3">
        <v>46108.0</v>
      </c>
      <c r="H97" s="2" t="s">
        <v>602</v>
      </c>
      <c r="I97" s="5" t="s">
        <v>243</v>
      </c>
      <c r="K97" s="5">
        <v>750000.0</v>
      </c>
      <c r="L97" s="2" t="s">
        <v>19</v>
      </c>
      <c r="M97" s="4">
        <v>123.0</v>
      </c>
      <c r="N97" s="4">
        <v>2.0</v>
      </c>
    </row>
    <row r="98">
      <c r="A98" s="2" t="s">
        <v>704</v>
      </c>
      <c r="B98" s="3" t="s">
        <v>63</v>
      </c>
      <c r="C98" s="3" t="s">
        <v>63</v>
      </c>
      <c r="D98" s="2" t="s">
        <v>17</v>
      </c>
      <c r="E98" s="4">
        <v>2026.0</v>
      </c>
      <c r="F98" s="4">
        <v>3.0</v>
      </c>
      <c r="G98" s="3">
        <v>46108.0</v>
      </c>
      <c r="H98" s="2" t="s">
        <v>610</v>
      </c>
      <c r="I98" s="5" t="s">
        <v>429</v>
      </c>
      <c r="K98" s="5">
        <v>1850000.0</v>
      </c>
      <c r="L98" s="2" t="s">
        <v>19</v>
      </c>
      <c r="M98" s="4">
        <v>124.0</v>
      </c>
      <c r="N98" s="4">
        <v>2.0</v>
      </c>
    </row>
    <row r="99">
      <c r="A99" s="2" t="s">
        <v>705</v>
      </c>
      <c r="B99" s="3" t="s">
        <v>69</v>
      </c>
      <c r="C99" s="3" t="s">
        <v>69</v>
      </c>
      <c r="D99" s="2" t="s">
        <v>17</v>
      </c>
      <c r="E99" s="4">
        <v>2026.0</v>
      </c>
      <c r="F99" s="4">
        <v>4.0</v>
      </c>
      <c r="G99" s="3">
        <v>46123.0</v>
      </c>
      <c r="H99" s="2" t="s">
        <v>602</v>
      </c>
      <c r="I99" s="5" t="s">
        <v>169</v>
      </c>
      <c r="J99" s="2" t="s">
        <v>434</v>
      </c>
      <c r="K99" s="5">
        <v>2829960.0</v>
      </c>
      <c r="L99" s="2" t="s">
        <v>19</v>
      </c>
      <c r="M99" s="4">
        <v>128.0</v>
      </c>
      <c r="N99" s="4">
        <v>1.0</v>
      </c>
    </row>
    <row r="100">
      <c r="A100" s="2" t="s">
        <v>706</v>
      </c>
      <c r="B100" s="3" t="s">
        <v>69</v>
      </c>
      <c r="C100" s="3" t="s">
        <v>69</v>
      </c>
      <c r="D100" s="2" t="s">
        <v>17</v>
      </c>
      <c r="E100" s="4">
        <v>2026.0</v>
      </c>
      <c r="F100" s="4">
        <v>4.0</v>
      </c>
      <c r="G100" s="3">
        <v>46123.0</v>
      </c>
      <c r="H100" s="2" t="s">
        <v>602</v>
      </c>
      <c r="I100" s="5" t="s">
        <v>176</v>
      </c>
      <c r="J100" s="2" t="s">
        <v>438</v>
      </c>
      <c r="K100" s="5">
        <v>4009110.0</v>
      </c>
      <c r="L100" s="2" t="s">
        <v>19</v>
      </c>
      <c r="M100" s="4">
        <v>129.0</v>
      </c>
      <c r="N100" s="4">
        <v>1.0</v>
      </c>
    </row>
    <row r="101">
      <c r="A101" s="2" t="s">
        <v>707</v>
      </c>
      <c r="B101" s="3" t="s">
        <v>69</v>
      </c>
      <c r="C101" s="3" t="s">
        <v>69</v>
      </c>
      <c r="D101" s="2" t="s">
        <v>17</v>
      </c>
      <c r="E101" s="4">
        <v>2026.0</v>
      </c>
      <c r="F101" s="4">
        <v>4.0</v>
      </c>
      <c r="G101" s="3">
        <v>46123.0</v>
      </c>
      <c r="H101" s="2" t="s">
        <v>602</v>
      </c>
      <c r="I101" s="5" t="s">
        <v>183</v>
      </c>
      <c r="K101" s="5">
        <v>700000.0</v>
      </c>
      <c r="L101" s="2" t="s">
        <v>19</v>
      </c>
      <c r="M101" s="4">
        <v>130.0</v>
      </c>
      <c r="N101" s="4">
        <v>1.0</v>
      </c>
    </row>
    <row r="102">
      <c r="A102" s="2" t="s">
        <v>708</v>
      </c>
      <c r="B102" s="3" t="s">
        <v>69</v>
      </c>
      <c r="C102" s="3" t="s">
        <v>69</v>
      </c>
      <c r="D102" s="2" t="s">
        <v>17</v>
      </c>
      <c r="E102" s="4">
        <v>2026.0</v>
      </c>
      <c r="F102" s="4">
        <v>4.0</v>
      </c>
      <c r="G102" s="3">
        <v>46123.0</v>
      </c>
      <c r="H102" s="2" t="s">
        <v>602</v>
      </c>
      <c r="I102" s="5" t="s">
        <v>188</v>
      </c>
      <c r="K102" s="5">
        <v>250000.0</v>
      </c>
      <c r="L102" s="2" t="s">
        <v>19</v>
      </c>
      <c r="M102" s="4">
        <v>131.0</v>
      </c>
      <c r="N102" s="4">
        <v>1.0</v>
      </c>
    </row>
    <row r="103">
      <c r="A103" s="2" t="s">
        <v>709</v>
      </c>
      <c r="B103" s="3" t="s">
        <v>69</v>
      </c>
      <c r="C103" s="3" t="s">
        <v>69</v>
      </c>
      <c r="D103" s="2" t="s">
        <v>17</v>
      </c>
      <c r="E103" s="4">
        <v>2026.0</v>
      </c>
      <c r="F103" s="4">
        <v>4.0</v>
      </c>
      <c r="G103" s="3">
        <v>46123.0</v>
      </c>
      <c r="H103" s="2" t="s">
        <v>613</v>
      </c>
      <c r="I103" s="5" t="s">
        <v>449</v>
      </c>
      <c r="K103" s="5">
        <v>1890000.0</v>
      </c>
      <c r="L103" s="2" t="s">
        <v>19</v>
      </c>
      <c r="M103" s="4">
        <v>132.0</v>
      </c>
      <c r="N103" s="4">
        <v>1.0</v>
      </c>
    </row>
    <row r="104">
      <c r="A104" s="2" t="s">
        <v>710</v>
      </c>
      <c r="B104" s="3" t="s">
        <v>69</v>
      </c>
      <c r="C104" s="3" t="s">
        <v>69</v>
      </c>
      <c r="D104" s="2" t="s">
        <v>17</v>
      </c>
      <c r="E104" s="4">
        <v>2026.0</v>
      </c>
      <c r="F104" s="4">
        <v>4.0</v>
      </c>
      <c r="G104" s="3">
        <v>46123.0</v>
      </c>
      <c r="H104" s="2" t="s">
        <v>237</v>
      </c>
      <c r="I104" s="5" t="s">
        <v>451</v>
      </c>
      <c r="J104" s="2" t="s">
        <v>452</v>
      </c>
      <c r="K104" s="5">
        <v>4500000.0</v>
      </c>
      <c r="L104" s="2" t="s">
        <v>19</v>
      </c>
      <c r="M104" s="4">
        <v>133.0</v>
      </c>
      <c r="N104" s="4">
        <v>1.0</v>
      </c>
    </row>
    <row r="105">
      <c r="A105" s="2" t="s">
        <v>711</v>
      </c>
      <c r="B105" s="3" t="s">
        <v>69</v>
      </c>
      <c r="C105" s="3" t="s">
        <v>69</v>
      </c>
      <c r="D105" s="2" t="s">
        <v>17</v>
      </c>
      <c r="E105" s="4">
        <v>2026.0</v>
      </c>
      <c r="F105" s="4">
        <v>4.0</v>
      </c>
      <c r="G105" s="3">
        <v>46123.0</v>
      </c>
      <c r="H105" s="2" t="s">
        <v>613</v>
      </c>
      <c r="I105" s="5" t="s">
        <v>454</v>
      </c>
      <c r="J105" s="2" t="s">
        <v>455</v>
      </c>
      <c r="K105" s="5">
        <v>810000.0</v>
      </c>
      <c r="L105" s="2" t="s">
        <v>19</v>
      </c>
      <c r="M105" s="4">
        <v>134.0</v>
      </c>
      <c r="N105" s="4">
        <v>1.0</v>
      </c>
    </row>
    <row r="106">
      <c r="A106" s="2" t="s">
        <v>712</v>
      </c>
      <c r="B106" s="3" t="s">
        <v>69</v>
      </c>
      <c r="C106" s="3" t="s">
        <v>69</v>
      </c>
      <c r="D106" s="2" t="s">
        <v>17</v>
      </c>
      <c r="E106" s="4">
        <v>2026.0</v>
      </c>
      <c r="F106" s="4">
        <v>4.0</v>
      </c>
      <c r="G106" s="3">
        <v>46123.0</v>
      </c>
      <c r="H106" s="2" t="s">
        <v>613</v>
      </c>
      <c r="I106" s="5" t="s">
        <v>457</v>
      </c>
      <c r="K106" s="5">
        <v>2800000.0</v>
      </c>
      <c r="L106" s="2" t="s">
        <v>19</v>
      </c>
      <c r="M106" s="4">
        <v>135.0</v>
      </c>
      <c r="N106" s="4">
        <v>1.0</v>
      </c>
    </row>
    <row r="107">
      <c r="A107" s="2" t="s">
        <v>713</v>
      </c>
      <c r="B107" s="3" t="s">
        <v>69</v>
      </c>
      <c r="C107" s="3" t="s">
        <v>69</v>
      </c>
      <c r="D107" s="2" t="s">
        <v>17</v>
      </c>
      <c r="E107" s="4">
        <v>2026.0</v>
      </c>
      <c r="F107" s="4">
        <v>4.0</v>
      </c>
      <c r="G107" s="3">
        <v>46123.0</v>
      </c>
      <c r="H107" s="2" t="s">
        <v>613</v>
      </c>
      <c r="I107" s="5" t="s">
        <v>460</v>
      </c>
      <c r="K107" s="5">
        <v>1060000.0</v>
      </c>
      <c r="L107" s="2" t="s">
        <v>19</v>
      </c>
      <c r="M107" s="4">
        <v>136.0</v>
      </c>
      <c r="N107" s="4">
        <v>1.0</v>
      </c>
    </row>
    <row r="108">
      <c r="A108" s="2" t="s">
        <v>714</v>
      </c>
      <c r="B108" s="3" t="s">
        <v>69</v>
      </c>
      <c r="C108" s="3" t="s">
        <v>69</v>
      </c>
      <c r="D108" s="2" t="s">
        <v>17</v>
      </c>
      <c r="E108" s="4">
        <v>2026.0</v>
      </c>
      <c r="F108" s="4">
        <v>4.0</v>
      </c>
      <c r="G108" s="3">
        <v>46123.0</v>
      </c>
      <c r="H108" s="2" t="s">
        <v>626</v>
      </c>
      <c r="I108" s="5" t="s">
        <v>239</v>
      </c>
      <c r="J108" s="2" t="s">
        <v>463</v>
      </c>
      <c r="K108" s="5">
        <v>2250000.0</v>
      </c>
      <c r="L108" s="2" t="s">
        <v>19</v>
      </c>
      <c r="M108" s="4">
        <v>137.0</v>
      </c>
      <c r="N108" s="4">
        <v>1.0</v>
      </c>
    </row>
    <row r="109">
      <c r="A109" s="2" t="s">
        <v>715</v>
      </c>
      <c r="B109" s="3" t="s">
        <v>69</v>
      </c>
      <c r="C109" s="3" t="s">
        <v>69</v>
      </c>
      <c r="D109" s="2" t="s">
        <v>17</v>
      </c>
      <c r="E109" s="4">
        <v>2026.0</v>
      </c>
      <c r="F109" s="4">
        <v>4.0</v>
      </c>
      <c r="G109" s="3">
        <v>46123.0</v>
      </c>
      <c r="H109" s="2" t="s">
        <v>607</v>
      </c>
      <c r="I109" s="5" t="s">
        <v>465</v>
      </c>
      <c r="J109" s="2" t="s">
        <v>466</v>
      </c>
      <c r="K109" s="5">
        <v>6050000.0</v>
      </c>
      <c r="L109" s="2" t="s">
        <v>19</v>
      </c>
      <c r="M109" s="4">
        <v>138.0</v>
      </c>
      <c r="N109" s="4">
        <v>1.0</v>
      </c>
    </row>
    <row r="110">
      <c r="A110" s="2" t="s">
        <v>716</v>
      </c>
      <c r="B110" s="3" t="s">
        <v>69</v>
      </c>
      <c r="C110" s="3" t="s">
        <v>69</v>
      </c>
      <c r="D110" s="2" t="s">
        <v>17</v>
      </c>
      <c r="E110" s="4">
        <v>2026.0</v>
      </c>
      <c r="F110" s="4">
        <v>4.0</v>
      </c>
      <c r="G110" s="3">
        <v>46123.0</v>
      </c>
      <c r="H110" s="2" t="s">
        <v>613</v>
      </c>
      <c r="I110" s="5" t="s">
        <v>211</v>
      </c>
      <c r="K110" s="5">
        <v>1223000.0</v>
      </c>
      <c r="L110" s="2" t="s">
        <v>19</v>
      </c>
      <c r="M110" s="4">
        <v>139.0</v>
      </c>
      <c r="N110" s="4">
        <v>1.0</v>
      </c>
    </row>
    <row r="111">
      <c r="A111" s="2" t="s">
        <v>717</v>
      </c>
      <c r="B111" s="3" t="s">
        <v>76</v>
      </c>
      <c r="C111" s="3" t="s">
        <v>76</v>
      </c>
      <c r="D111" s="2" t="s">
        <v>17</v>
      </c>
      <c r="E111" s="4">
        <v>2026.0</v>
      </c>
      <c r="F111" s="4">
        <v>4.0</v>
      </c>
      <c r="G111" s="3">
        <v>46138.0</v>
      </c>
      <c r="H111" s="2" t="s">
        <v>602</v>
      </c>
      <c r="I111" s="5" t="s">
        <v>169</v>
      </c>
      <c r="J111" s="2" t="s">
        <v>472</v>
      </c>
      <c r="K111" s="5">
        <v>2047440.0</v>
      </c>
      <c r="L111" s="2" t="s">
        <v>19</v>
      </c>
      <c r="M111" s="4">
        <v>146.0</v>
      </c>
      <c r="N111" s="4">
        <v>2.0</v>
      </c>
    </row>
    <row r="112">
      <c r="A112" s="2" t="s">
        <v>718</v>
      </c>
      <c r="B112" s="3" t="s">
        <v>76</v>
      </c>
      <c r="C112" s="3" t="s">
        <v>76</v>
      </c>
      <c r="D112" s="2" t="s">
        <v>17</v>
      </c>
      <c r="E112" s="4">
        <v>2026.0</v>
      </c>
      <c r="F112" s="4">
        <v>4.0</v>
      </c>
      <c r="G112" s="3">
        <v>46138.0</v>
      </c>
      <c r="H112" s="2" t="s">
        <v>602</v>
      </c>
      <c r="I112" s="5" t="s">
        <v>176</v>
      </c>
      <c r="J112" s="2" t="s">
        <v>477</v>
      </c>
      <c r="K112" s="5">
        <v>2900540.0</v>
      </c>
      <c r="L112" s="2" t="s">
        <v>19</v>
      </c>
      <c r="M112" s="4">
        <v>147.0</v>
      </c>
      <c r="N112" s="4">
        <v>2.0</v>
      </c>
    </row>
    <row r="113">
      <c r="A113" s="2" t="s">
        <v>719</v>
      </c>
      <c r="B113" s="3" t="s">
        <v>76</v>
      </c>
      <c r="C113" s="3" t="s">
        <v>76</v>
      </c>
      <c r="D113" s="2" t="s">
        <v>17</v>
      </c>
      <c r="E113" s="4">
        <v>2026.0</v>
      </c>
      <c r="F113" s="4">
        <v>4.0</v>
      </c>
      <c r="G113" s="3">
        <v>46138.0</v>
      </c>
      <c r="H113" s="2" t="s">
        <v>602</v>
      </c>
      <c r="I113" s="5" t="s">
        <v>183</v>
      </c>
      <c r="K113" s="5">
        <v>700000.0</v>
      </c>
      <c r="L113" s="2" t="s">
        <v>19</v>
      </c>
      <c r="M113" s="4">
        <v>148.0</v>
      </c>
      <c r="N113" s="4">
        <v>2.0</v>
      </c>
    </row>
    <row r="114">
      <c r="A114" s="2" t="s">
        <v>720</v>
      </c>
      <c r="B114" s="3" t="s">
        <v>76</v>
      </c>
      <c r="C114" s="3" t="s">
        <v>76</v>
      </c>
      <c r="D114" s="2" t="s">
        <v>17</v>
      </c>
      <c r="E114" s="4">
        <v>2026.0</v>
      </c>
      <c r="F114" s="4">
        <v>4.0</v>
      </c>
      <c r="G114" s="3">
        <v>46138.0</v>
      </c>
      <c r="H114" s="2" t="s">
        <v>602</v>
      </c>
      <c r="I114" s="5" t="s">
        <v>188</v>
      </c>
      <c r="K114" s="5">
        <v>200000.0</v>
      </c>
      <c r="L114" s="2" t="s">
        <v>19</v>
      </c>
      <c r="M114" s="4">
        <v>149.0</v>
      </c>
      <c r="N114" s="4">
        <v>2.0</v>
      </c>
    </row>
    <row r="115">
      <c r="A115" s="2" t="s">
        <v>721</v>
      </c>
      <c r="B115" s="3" t="s">
        <v>76</v>
      </c>
      <c r="C115" s="3" t="s">
        <v>76</v>
      </c>
      <c r="D115" s="2" t="s">
        <v>17</v>
      </c>
      <c r="E115" s="4">
        <v>2026.0</v>
      </c>
      <c r="F115" s="4">
        <v>4.0</v>
      </c>
      <c r="G115" s="3">
        <v>46138.0</v>
      </c>
      <c r="H115" s="2" t="s">
        <v>607</v>
      </c>
      <c r="I115" s="5" t="s">
        <v>485</v>
      </c>
      <c r="J115" s="2" t="s">
        <v>486</v>
      </c>
      <c r="K115" s="5">
        <v>1.904E7</v>
      </c>
      <c r="L115" s="2" t="s">
        <v>19</v>
      </c>
      <c r="M115" s="4">
        <v>150.0</v>
      </c>
      <c r="N115" s="4">
        <v>2.0</v>
      </c>
    </row>
    <row r="116">
      <c r="A116" s="2" t="s">
        <v>722</v>
      </c>
      <c r="B116" s="3" t="s">
        <v>76</v>
      </c>
      <c r="C116" s="3" t="s">
        <v>76</v>
      </c>
      <c r="D116" s="2" t="s">
        <v>17</v>
      </c>
      <c r="E116" s="4">
        <v>2026.0</v>
      </c>
      <c r="F116" s="4">
        <v>4.0</v>
      </c>
      <c r="G116" s="3">
        <v>46138.0</v>
      </c>
      <c r="H116" s="2" t="s">
        <v>607</v>
      </c>
      <c r="I116" s="5" t="s">
        <v>488</v>
      </c>
      <c r="K116" s="5">
        <v>500000.0</v>
      </c>
      <c r="L116" s="2" t="s">
        <v>19</v>
      </c>
      <c r="M116" s="4">
        <v>151.0</v>
      </c>
      <c r="N116" s="4">
        <v>2.0</v>
      </c>
    </row>
    <row r="117">
      <c r="A117" s="2" t="s">
        <v>723</v>
      </c>
      <c r="B117" s="3" t="s">
        <v>76</v>
      </c>
      <c r="C117" s="3" t="s">
        <v>76</v>
      </c>
      <c r="D117" s="2" t="s">
        <v>17</v>
      </c>
      <c r="E117" s="4">
        <v>2026.0</v>
      </c>
      <c r="F117" s="4">
        <v>4.0</v>
      </c>
      <c r="G117" s="3">
        <v>46138.0</v>
      </c>
      <c r="H117" s="2" t="s">
        <v>613</v>
      </c>
      <c r="I117" s="5" t="s">
        <v>490</v>
      </c>
      <c r="J117" s="2" t="s">
        <v>491</v>
      </c>
      <c r="K117" s="5">
        <v>1060000.0</v>
      </c>
      <c r="L117" s="2" t="s">
        <v>19</v>
      </c>
      <c r="M117" s="4">
        <v>152.0</v>
      </c>
      <c r="N117" s="4">
        <v>2.0</v>
      </c>
    </row>
    <row r="118">
      <c r="A118" s="2" t="s">
        <v>724</v>
      </c>
      <c r="B118" s="3" t="s">
        <v>76</v>
      </c>
      <c r="C118" s="3" t="s">
        <v>76</v>
      </c>
      <c r="D118" s="2" t="s">
        <v>17</v>
      </c>
      <c r="E118" s="4">
        <v>2026.0</v>
      </c>
      <c r="F118" s="4">
        <v>4.0</v>
      </c>
      <c r="G118" s="3">
        <v>46138.0</v>
      </c>
      <c r="H118" s="2" t="s">
        <v>610</v>
      </c>
      <c r="I118" s="5" t="s">
        <v>493</v>
      </c>
      <c r="J118" s="2" t="s">
        <v>494</v>
      </c>
      <c r="K118" s="5">
        <v>6000000.0</v>
      </c>
      <c r="L118" s="2" t="s">
        <v>19</v>
      </c>
      <c r="M118" s="4">
        <v>153.0</v>
      </c>
      <c r="N118" s="4">
        <v>2.0</v>
      </c>
    </row>
    <row r="119">
      <c r="A119" s="2" t="s">
        <v>725</v>
      </c>
      <c r="B119" s="3" t="s">
        <v>76</v>
      </c>
      <c r="C119" s="3" t="s">
        <v>76</v>
      </c>
      <c r="D119" s="2" t="s">
        <v>17</v>
      </c>
      <c r="E119" s="4">
        <v>2026.0</v>
      </c>
      <c r="F119" s="4">
        <v>4.0</v>
      </c>
      <c r="G119" s="3">
        <v>46138.0</v>
      </c>
      <c r="H119" s="2" t="s">
        <v>626</v>
      </c>
      <c r="I119" s="5" t="s">
        <v>496</v>
      </c>
      <c r="K119" s="5">
        <v>1900000.0</v>
      </c>
      <c r="L119" s="2" t="s">
        <v>19</v>
      </c>
      <c r="M119" s="4">
        <v>154.0</v>
      </c>
      <c r="N119" s="4">
        <v>2.0</v>
      </c>
    </row>
    <row r="120">
      <c r="A120" s="2" t="s">
        <v>726</v>
      </c>
      <c r="B120" s="3" t="s">
        <v>76</v>
      </c>
      <c r="C120" s="3" t="s">
        <v>76</v>
      </c>
      <c r="D120" s="2" t="s">
        <v>17</v>
      </c>
      <c r="E120" s="4">
        <v>2026.0</v>
      </c>
      <c r="F120" s="4">
        <v>4.0</v>
      </c>
      <c r="G120" s="3">
        <v>46138.0</v>
      </c>
      <c r="H120" s="2" t="s">
        <v>602</v>
      </c>
      <c r="I120" s="5" t="s">
        <v>243</v>
      </c>
      <c r="J120" s="2" t="s">
        <v>499</v>
      </c>
      <c r="K120" s="5">
        <v>1750000.0</v>
      </c>
      <c r="L120" s="2" t="s">
        <v>19</v>
      </c>
      <c r="M120" s="4">
        <v>155.0</v>
      </c>
      <c r="N120" s="4">
        <v>2.0</v>
      </c>
    </row>
    <row r="121">
      <c r="A121" s="2" t="s">
        <v>727</v>
      </c>
      <c r="B121" s="3" t="s">
        <v>76</v>
      </c>
      <c r="C121" s="3" t="s">
        <v>76</v>
      </c>
      <c r="D121" s="2" t="s">
        <v>17</v>
      </c>
      <c r="E121" s="4">
        <v>2026.0</v>
      </c>
      <c r="F121" s="4">
        <v>4.0</v>
      </c>
      <c r="G121" s="3">
        <v>46138.0</v>
      </c>
      <c r="H121" s="2" t="s">
        <v>613</v>
      </c>
      <c r="I121" s="5" t="s">
        <v>501</v>
      </c>
      <c r="J121" s="2" t="s">
        <v>502</v>
      </c>
      <c r="K121" s="5">
        <v>400000.0</v>
      </c>
      <c r="L121" s="2" t="s">
        <v>19</v>
      </c>
      <c r="M121" s="4">
        <v>156.0</v>
      </c>
      <c r="N121" s="4">
        <v>2.0</v>
      </c>
    </row>
    <row r="122">
      <c r="A122" s="2" t="s">
        <v>728</v>
      </c>
      <c r="B122" s="3" t="s">
        <v>76</v>
      </c>
      <c r="C122" s="3" t="s">
        <v>76</v>
      </c>
      <c r="D122" s="2" t="s">
        <v>17</v>
      </c>
      <c r="E122" s="4">
        <v>2026.0</v>
      </c>
      <c r="F122" s="4">
        <v>4.0</v>
      </c>
      <c r="G122" s="3">
        <v>46138.0</v>
      </c>
      <c r="H122" s="2" t="s">
        <v>622</v>
      </c>
      <c r="I122" s="5" t="s">
        <v>503</v>
      </c>
      <c r="K122" s="5">
        <v>4000000.0</v>
      </c>
      <c r="L122" s="2" t="s">
        <v>19</v>
      </c>
      <c r="M122" s="4">
        <v>157.0</v>
      </c>
      <c r="N122" s="4">
        <v>2.0</v>
      </c>
    </row>
    <row r="123">
      <c r="A123" s="2" t="s">
        <v>729</v>
      </c>
      <c r="B123" s="3" t="s">
        <v>76</v>
      </c>
      <c r="C123" s="3" t="s">
        <v>76</v>
      </c>
      <c r="D123" s="2" t="s">
        <v>17</v>
      </c>
      <c r="E123" s="4">
        <v>2026.0</v>
      </c>
      <c r="F123" s="4">
        <v>4.0</v>
      </c>
      <c r="G123" s="3">
        <v>46138.0</v>
      </c>
      <c r="H123" s="2" t="s">
        <v>610</v>
      </c>
      <c r="I123" s="5" t="s">
        <v>504</v>
      </c>
      <c r="J123" s="2" t="s">
        <v>277</v>
      </c>
      <c r="K123" s="5">
        <v>420000.0</v>
      </c>
      <c r="L123" s="2" t="s">
        <v>19</v>
      </c>
      <c r="M123" s="4">
        <v>158.0</v>
      </c>
      <c r="N123" s="4">
        <v>2.0</v>
      </c>
    </row>
    <row r="124">
      <c r="A124" s="2" t="s">
        <v>730</v>
      </c>
      <c r="B124" s="3" t="s">
        <v>76</v>
      </c>
      <c r="C124" s="3" t="s">
        <v>76</v>
      </c>
      <c r="D124" s="2" t="s">
        <v>17</v>
      </c>
      <c r="E124" s="4">
        <v>2026.0</v>
      </c>
      <c r="F124" s="4">
        <v>4.0</v>
      </c>
      <c r="G124" s="3">
        <v>46138.0</v>
      </c>
      <c r="H124" s="2" t="s">
        <v>626</v>
      </c>
      <c r="I124" s="5" t="s">
        <v>506</v>
      </c>
      <c r="J124" s="2" t="s">
        <v>507</v>
      </c>
      <c r="K124" s="5">
        <v>376000.0</v>
      </c>
      <c r="L124" s="2" t="s">
        <v>19</v>
      </c>
      <c r="M124" s="4">
        <v>159.0</v>
      </c>
      <c r="N124" s="4">
        <v>2.0</v>
      </c>
    </row>
    <row r="125">
      <c r="A125" s="2" t="s">
        <v>731</v>
      </c>
      <c r="B125" s="3" t="s">
        <v>76</v>
      </c>
      <c r="C125" s="3" t="s">
        <v>76</v>
      </c>
      <c r="D125" s="2" t="s">
        <v>17</v>
      </c>
      <c r="E125" s="4">
        <v>2026.0</v>
      </c>
      <c r="F125" s="4">
        <v>4.0</v>
      </c>
      <c r="G125" s="3">
        <v>46138.0</v>
      </c>
      <c r="H125" s="2" t="s">
        <v>610</v>
      </c>
      <c r="I125" s="5" t="s">
        <v>508</v>
      </c>
      <c r="K125" s="5">
        <v>1655000.0</v>
      </c>
      <c r="L125" s="2" t="s">
        <v>19</v>
      </c>
      <c r="M125" s="4">
        <v>160.0</v>
      </c>
      <c r="N125" s="4">
        <v>2.0</v>
      </c>
    </row>
    <row r="126">
      <c r="A126" s="2" t="s">
        <v>732</v>
      </c>
      <c r="B126" s="3" t="s">
        <v>76</v>
      </c>
      <c r="C126" s="3" t="s">
        <v>76</v>
      </c>
      <c r="D126" s="2" t="s">
        <v>17</v>
      </c>
      <c r="E126" s="4">
        <v>2026.0</v>
      </c>
      <c r="F126" s="4">
        <v>4.0</v>
      </c>
      <c r="G126" s="3">
        <v>46138.0</v>
      </c>
      <c r="H126" s="2" t="s">
        <v>613</v>
      </c>
      <c r="I126" s="5" t="s">
        <v>510</v>
      </c>
      <c r="K126" s="5">
        <v>200000.0</v>
      </c>
      <c r="L126" s="2" t="s">
        <v>19</v>
      </c>
      <c r="M126" s="4">
        <v>161.0</v>
      </c>
      <c r="N126" s="4">
        <v>2.0</v>
      </c>
    </row>
    <row r="127">
      <c r="A127" s="2" t="s">
        <v>733</v>
      </c>
      <c r="B127" s="3" t="s">
        <v>82</v>
      </c>
      <c r="C127" s="3" t="s">
        <v>82</v>
      </c>
      <c r="D127" s="2" t="s">
        <v>17</v>
      </c>
      <c r="E127" s="4">
        <v>2026.0</v>
      </c>
      <c r="F127" s="4">
        <v>5.0</v>
      </c>
      <c r="G127" s="3">
        <v>46151.0</v>
      </c>
      <c r="H127" s="2" t="s">
        <v>602</v>
      </c>
      <c r="I127" s="5" t="s">
        <v>169</v>
      </c>
      <c r="J127" s="2" t="s">
        <v>513</v>
      </c>
      <c r="K127" s="5">
        <v>2274960.0</v>
      </c>
      <c r="L127" s="2" t="s">
        <v>19</v>
      </c>
      <c r="M127" s="4">
        <v>164.0</v>
      </c>
      <c r="N127" s="4">
        <v>1.0</v>
      </c>
    </row>
    <row r="128">
      <c r="A128" s="2" t="s">
        <v>734</v>
      </c>
      <c r="B128" s="3" t="s">
        <v>82</v>
      </c>
      <c r="C128" s="3" t="s">
        <v>82</v>
      </c>
      <c r="D128" s="2" t="s">
        <v>17</v>
      </c>
      <c r="E128" s="4">
        <v>2026.0</v>
      </c>
      <c r="F128" s="4">
        <v>5.0</v>
      </c>
      <c r="G128" s="3">
        <v>46151.0</v>
      </c>
      <c r="H128" s="2" t="s">
        <v>602</v>
      </c>
      <c r="I128" s="5" t="s">
        <v>176</v>
      </c>
      <c r="J128" s="2" t="s">
        <v>517</v>
      </c>
      <c r="K128" s="5">
        <v>3222860.0</v>
      </c>
      <c r="L128" s="2" t="s">
        <v>19</v>
      </c>
      <c r="M128" s="4">
        <v>165.0</v>
      </c>
      <c r="N128" s="4">
        <v>1.0</v>
      </c>
    </row>
    <row r="129">
      <c r="A129" s="2" t="s">
        <v>735</v>
      </c>
      <c r="B129" s="3" t="s">
        <v>82</v>
      </c>
      <c r="C129" s="3" t="s">
        <v>82</v>
      </c>
      <c r="D129" s="2" t="s">
        <v>17</v>
      </c>
      <c r="E129" s="4">
        <v>2026.0</v>
      </c>
      <c r="F129" s="4">
        <v>5.0</v>
      </c>
      <c r="G129" s="3">
        <v>46151.0</v>
      </c>
      <c r="H129" s="2" t="s">
        <v>602</v>
      </c>
      <c r="I129" s="5" t="s">
        <v>183</v>
      </c>
      <c r="K129" s="5">
        <v>700000.0</v>
      </c>
      <c r="L129" s="2" t="s">
        <v>19</v>
      </c>
      <c r="M129" s="4">
        <v>166.0</v>
      </c>
      <c r="N129" s="4">
        <v>1.0</v>
      </c>
    </row>
    <row r="130">
      <c r="A130" s="2" t="s">
        <v>736</v>
      </c>
      <c r="B130" s="3" t="s">
        <v>82</v>
      </c>
      <c r="C130" s="3" t="s">
        <v>82</v>
      </c>
      <c r="D130" s="2" t="s">
        <v>17</v>
      </c>
      <c r="E130" s="4">
        <v>2026.0</v>
      </c>
      <c r="F130" s="4">
        <v>5.0</v>
      </c>
      <c r="G130" s="3">
        <v>46151.0</v>
      </c>
      <c r="H130" s="2" t="s">
        <v>602</v>
      </c>
      <c r="I130" s="5" t="s">
        <v>188</v>
      </c>
      <c r="K130" s="5">
        <v>200000.0</v>
      </c>
      <c r="L130" s="2" t="s">
        <v>19</v>
      </c>
      <c r="M130" s="4">
        <v>167.0</v>
      </c>
      <c r="N130" s="4">
        <v>1.0</v>
      </c>
    </row>
    <row r="131">
      <c r="A131" s="2" t="s">
        <v>737</v>
      </c>
      <c r="B131" s="3" t="s">
        <v>82</v>
      </c>
      <c r="C131" s="3" t="s">
        <v>82</v>
      </c>
      <c r="D131" s="2" t="s">
        <v>17</v>
      </c>
      <c r="E131" s="4">
        <v>2026.0</v>
      </c>
      <c r="F131" s="4">
        <v>5.0</v>
      </c>
      <c r="G131" s="3">
        <v>46151.0</v>
      </c>
      <c r="H131" s="2" t="s">
        <v>613</v>
      </c>
      <c r="I131" s="5" t="s">
        <v>525</v>
      </c>
      <c r="J131" s="2" t="s">
        <v>526</v>
      </c>
      <c r="K131" s="5">
        <v>400000.0</v>
      </c>
      <c r="L131" s="2" t="s">
        <v>19</v>
      </c>
      <c r="M131" s="4">
        <v>168.0</v>
      </c>
      <c r="N131" s="4">
        <v>1.0</v>
      </c>
    </row>
    <row r="132">
      <c r="A132" s="2" t="s">
        <v>738</v>
      </c>
      <c r="B132" s="3" t="s">
        <v>82</v>
      </c>
      <c r="C132" s="3" t="s">
        <v>82</v>
      </c>
      <c r="D132" s="2" t="s">
        <v>17</v>
      </c>
      <c r="E132" s="4">
        <v>2026.0</v>
      </c>
      <c r="F132" s="4">
        <v>5.0</v>
      </c>
      <c r="G132" s="3">
        <v>46151.0</v>
      </c>
      <c r="H132" s="2" t="s">
        <v>613</v>
      </c>
      <c r="I132" s="5" t="s">
        <v>210</v>
      </c>
      <c r="K132" s="5">
        <v>200000.0</v>
      </c>
      <c r="L132" s="2" t="s">
        <v>19</v>
      </c>
      <c r="M132" s="4">
        <v>169.0</v>
      </c>
      <c r="N132" s="4">
        <v>1.0</v>
      </c>
    </row>
    <row r="133">
      <c r="A133" s="2" t="s">
        <v>739</v>
      </c>
      <c r="B133" s="3" t="s">
        <v>82</v>
      </c>
      <c r="C133" s="3" t="s">
        <v>82</v>
      </c>
      <c r="D133" s="2" t="s">
        <v>17</v>
      </c>
      <c r="E133" s="4">
        <v>2026.0</v>
      </c>
      <c r="F133" s="4">
        <v>5.0</v>
      </c>
      <c r="G133" s="3">
        <v>46151.0</v>
      </c>
      <c r="H133" s="2" t="s">
        <v>602</v>
      </c>
      <c r="I133" s="5" t="s">
        <v>243</v>
      </c>
      <c r="K133" s="5">
        <v>750000.0</v>
      </c>
      <c r="L133" s="2" t="s">
        <v>19</v>
      </c>
      <c r="M133" s="4">
        <v>170.0</v>
      </c>
      <c r="N133" s="4">
        <v>1.0</v>
      </c>
    </row>
    <row r="134">
      <c r="A134" s="2" t="s">
        <v>740</v>
      </c>
      <c r="B134" s="3" t="s">
        <v>82</v>
      </c>
      <c r="C134" s="3" t="s">
        <v>82</v>
      </c>
      <c r="D134" s="2" t="s">
        <v>17</v>
      </c>
      <c r="E134" s="4">
        <v>2026.0</v>
      </c>
      <c r="F134" s="4">
        <v>5.0</v>
      </c>
      <c r="G134" s="3">
        <v>46151.0</v>
      </c>
      <c r="H134" s="2" t="s">
        <v>613</v>
      </c>
      <c r="I134" s="5" t="s">
        <v>211</v>
      </c>
      <c r="K134" s="5">
        <v>1223000.0</v>
      </c>
      <c r="L134" s="2" t="s">
        <v>19</v>
      </c>
      <c r="M134" s="4">
        <v>171.0</v>
      </c>
      <c r="N134" s="4">
        <v>1.0</v>
      </c>
    </row>
    <row r="135">
      <c r="A135" s="2" t="s">
        <v>741</v>
      </c>
      <c r="B135" s="3" t="s">
        <v>82</v>
      </c>
      <c r="C135" s="3" t="s">
        <v>82</v>
      </c>
      <c r="D135" s="2" t="s">
        <v>17</v>
      </c>
      <c r="E135" s="4">
        <v>2026.0</v>
      </c>
      <c r="F135" s="4">
        <v>5.0</v>
      </c>
      <c r="G135" s="3">
        <v>46151.0</v>
      </c>
      <c r="H135" s="2" t="s">
        <v>610</v>
      </c>
      <c r="I135" s="5" t="s">
        <v>413</v>
      </c>
      <c r="K135" s="5">
        <v>220000.0</v>
      </c>
      <c r="L135" s="2" t="s">
        <v>19</v>
      </c>
      <c r="M135" s="4">
        <v>172.0</v>
      </c>
      <c r="N135" s="4">
        <v>1.0</v>
      </c>
    </row>
    <row r="136">
      <c r="A136" s="2" t="s">
        <v>742</v>
      </c>
      <c r="B136" s="3" t="s">
        <v>82</v>
      </c>
      <c r="C136" s="3" t="s">
        <v>82</v>
      </c>
      <c r="D136" s="2" t="s">
        <v>17</v>
      </c>
      <c r="E136" s="4">
        <v>2026.0</v>
      </c>
      <c r="F136" s="4">
        <v>5.0</v>
      </c>
      <c r="G136" s="3">
        <v>46151.0</v>
      </c>
      <c r="H136" s="2" t="s">
        <v>607</v>
      </c>
      <c r="I136" s="5" t="s">
        <v>197</v>
      </c>
      <c r="K136" s="5">
        <v>3360000.0</v>
      </c>
      <c r="L136" s="2" t="s">
        <v>19</v>
      </c>
      <c r="M136" s="4">
        <v>173.0</v>
      </c>
      <c r="N136" s="4">
        <v>1.0</v>
      </c>
    </row>
    <row r="137">
      <c r="A137" s="2" t="s">
        <v>743</v>
      </c>
      <c r="B137" s="3" t="s">
        <v>82</v>
      </c>
      <c r="C137" s="3" t="s">
        <v>82</v>
      </c>
      <c r="D137" s="2" t="s">
        <v>17</v>
      </c>
      <c r="E137" s="4">
        <v>2026.0</v>
      </c>
      <c r="F137" s="4">
        <v>5.0</v>
      </c>
      <c r="G137" s="3">
        <v>46151.0</v>
      </c>
      <c r="H137" s="2" t="s">
        <v>613</v>
      </c>
      <c r="I137" s="5" t="s">
        <v>210</v>
      </c>
      <c r="K137" s="5">
        <v>1000000.0</v>
      </c>
      <c r="L137" s="2" t="s">
        <v>19</v>
      </c>
      <c r="M137" s="4">
        <v>174.0</v>
      </c>
      <c r="N137" s="4">
        <v>1.0</v>
      </c>
    </row>
    <row r="138">
      <c r="A138" s="2" t="s">
        <v>744</v>
      </c>
      <c r="B138" s="3" t="s">
        <v>88</v>
      </c>
      <c r="C138" s="3" t="s">
        <v>88</v>
      </c>
      <c r="D138" s="2" t="s">
        <v>17</v>
      </c>
      <c r="E138" s="4">
        <v>2026.0</v>
      </c>
      <c r="F138" s="4">
        <v>5.0</v>
      </c>
      <c r="G138" s="3">
        <v>46165.0</v>
      </c>
      <c r="H138" s="2" t="s">
        <v>602</v>
      </c>
      <c r="I138" s="5" t="s">
        <v>169</v>
      </c>
      <c r="J138" s="2" t="s">
        <v>536</v>
      </c>
      <c r="K138" s="5">
        <v>2447040.0</v>
      </c>
      <c r="L138" s="2" t="s">
        <v>19</v>
      </c>
      <c r="M138" s="4">
        <v>182.0</v>
      </c>
      <c r="N138" s="4">
        <v>2.0</v>
      </c>
    </row>
    <row r="139">
      <c r="A139" s="2" t="s">
        <v>745</v>
      </c>
      <c r="B139" s="3" t="s">
        <v>88</v>
      </c>
      <c r="C139" s="3" t="s">
        <v>88</v>
      </c>
      <c r="D139" s="2" t="s">
        <v>17</v>
      </c>
      <c r="E139" s="4">
        <v>2026.0</v>
      </c>
      <c r="F139" s="4">
        <v>5.0</v>
      </c>
      <c r="G139" s="3">
        <v>46165.0</v>
      </c>
      <c r="H139" s="2" t="s">
        <v>602</v>
      </c>
      <c r="I139" s="5" t="s">
        <v>176</v>
      </c>
      <c r="J139" s="2" t="s">
        <v>541</v>
      </c>
      <c r="K139" s="5">
        <v>3466640.0</v>
      </c>
      <c r="L139" s="2" t="s">
        <v>19</v>
      </c>
      <c r="M139" s="4">
        <v>183.0</v>
      </c>
      <c r="N139" s="4">
        <v>2.0</v>
      </c>
    </row>
    <row r="140">
      <c r="A140" s="2" t="s">
        <v>746</v>
      </c>
      <c r="B140" s="3" t="s">
        <v>88</v>
      </c>
      <c r="C140" s="3" t="s">
        <v>88</v>
      </c>
      <c r="D140" s="2" t="s">
        <v>17</v>
      </c>
      <c r="E140" s="4">
        <v>2026.0</v>
      </c>
      <c r="F140" s="4">
        <v>5.0</v>
      </c>
      <c r="G140" s="3">
        <v>46165.0</v>
      </c>
      <c r="H140" s="2" t="s">
        <v>602</v>
      </c>
      <c r="I140" s="5" t="s">
        <v>183</v>
      </c>
      <c r="K140" s="5">
        <v>700000.0</v>
      </c>
      <c r="L140" s="2" t="s">
        <v>19</v>
      </c>
      <c r="M140" s="4">
        <v>184.0</v>
      </c>
      <c r="N140" s="4">
        <v>2.0</v>
      </c>
    </row>
    <row r="141">
      <c r="A141" s="2" t="s">
        <v>747</v>
      </c>
      <c r="B141" s="3" t="s">
        <v>88</v>
      </c>
      <c r="C141" s="3" t="s">
        <v>88</v>
      </c>
      <c r="D141" s="2" t="s">
        <v>17</v>
      </c>
      <c r="E141" s="4">
        <v>2026.0</v>
      </c>
      <c r="F141" s="4">
        <v>5.0</v>
      </c>
      <c r="G141" s="3">
        <v>46165.0</v>
      </c>
      <c r="H141" s="2" t="s">
        <v>602</v>
      </c>
      <c r="I141" s="5" t="s">
        <v>188</v>
      </c>
      <c r="K141" s="5">
        <v>200000.0</v>
      </c>
      <c r="L141" s="2" t="s">
        <v>19</v>
      </c>
      <c r="M141" s="4">
        <v>185.0</v>
      </c>
      <c r="N141" s="4">
        <v>2.0</v>
      </c>
    </row>
    <row r="142">
      <c r="A142" s="2" t="s">
        <v>748</v>
      </c>
      <c r="B142" s="3" t="s">
        <v>88</v>
      </c>
      <c r="C142" s="3" t="s">
        <v>88</v>
      </c>
      <c r="D142" s="2" t="s">
        <v>17</v>
      </c>
      <c r="E142" s="4">
        <v>2026.0</v>
      </c>
      <c r="F142" s="4">
        <v>5.0</v>
      </c>
      <c r="G142" s="3">
        <v>46165.0</v>
      </c>
      <c r="H142" s="2" t="s">
        <v>622</v>
      </c>
      <c r="I142" s="5" t="s">
        <v>549</v>
      </c>
      <c r="K142" s="5">
        <v>5500000.0</v>
      </c>
      <c r="L142" s="2" t="s">
        <v>19</v>
      </c>
      <c r="M142" s="4">
        <v>186.0</v>
      </c>
      <c r="N142" s="4">
        <v>2.0</v>
      </c>
    </row>
    <row r="143">
      <c r="A143" s="2" t="s">
        <v>749</v>
      </c>
      <c r="B143" s="3" t="s">
        <v>88</v>
      </c>
      <c r="C143" s="3" t="s">
        <v>88</v>
      </c>
      <c r="D143" s="2" t="s">
        <v>17</v>
      </c>
      <c r="E143" s="4">
        <v>2026.0</v>
      </c>
      <c r="F143" s="4">
        <v>5.0</v>
      </c>
      <c r="G143" s="3">
        <v>46165.0</v>
      </c>
      <c r="H143" s="2" t="s">
        <v>613</v>
      </c>
      <c r="I143" s="5" t="s">
        <v>551</v>
      </c>
      <c r="K143" s="5">
        <v>8930500.0</v>
      </c>
      <c r="L143" s="2" t="s">
        <v>19</v>
      </c>
      <c r="M143" s="4">
        <v>187.0</v>
      </c>
      <c r="N143" s="4">
        <v>2.0</v>
      </c>
    </row>
    <row r="144">
      <c r="A144" s="2" t="s">
        <v>750</v>
      </c>
      <c r="B144" s="3" t="s">
        <v>88</v>
      </c>
      <c r="C144" s="3" t="s">
        <v>88</v>
      </c>
      <c r="D144" s="2" t="s">
        <v>17</v>
      </c>
      <c r="E144" s="4">
        <v>2026.0</v>
      </c>
      <c r="F144" s="4">
        <v>5.0</v>
      </c>
      <c r="G144" s="3">
        <v>46165.0</v>
      </c>
      <c r="H144" s="2" t="s">
        <v>237</v>
      </c>
      <c r="I144" s="5" t="s">
        <v>237</v>
      </c>
      <c r="J144" s="2" t="s">
        <v>554</v>
      </c>
      <c r="K144" s="5">
        <v>3500000.0</v>
      </c>
      <c r="L144" s="2" t="s">
        <v>19</v>
      </c>
      <c r="M144" s="4">
        <v>188.0</v>
      </c>
      <c r="N144" s="4">
        <v>2.0</v>
      </c>
    </row>
    <row r="145">
      <c r="A145" s="2" t="s">
        <v>751</v>
      </c>
      <c r="B145" s="3" t="s">
        <v>88</v>
      </c>
      <c r="C145" s="3" t="s">
        <v>88</v>
      </c>
      <c r="D145" s="2" t="s">
        <v>17</v>
      </c>
      <c r="E145" s="4">
        <v>2026.0</v>
      </c>
      <c r="F145" s="4">
        <v>5.0</v>
      </c>
      <c r="G145" s="3">
        <v>46165.0</v>
      </c>
      <c r="H145" s="2" t="s">
        <v>622</v>
      </c>
      <c r="I145" s="5" t="s">
        <v>503</v>
      </c>
      <c r="K145" s="5">
        <v>4000000.0</v>
      </c>
      <c r="L145" s="2" t="s">
        <v>19</v>
      </c>
      <c r="M145" s="4">
        <v>189.0</v>
      </c>
      <c r="N145" s="4">
        <v>2.0</v>
      </c>
    </row>
    <row r="146">
      <c r="A146" s="2" t="s">
        <v>752</v>
      </c>
      <c r="B146" s="3" t="s">
        <v>88</v>
      </c>
      <c r="C146" s="3" t="s">
        <v>88</v>
      </c>
      <c r="D146" s="2" t="s">
        <v>17</v>
      </c>
      <c r="E146" s="4">
        <v>2026.0</v>
      </c>
      <c r="F146" s="4">
        <v>5.0</v>
      </c>
      <c r="G146" s="3">
        <v>46165.0</v>
      </c>
      <c r="H146" s="2" t="s">
        <v>610</v>
      </c>
      <c r="I146" s="5" t="s">
        <v>413</v>
      </c>
      <c r="K146" s="5">
        <v>220000.0</v>
      </c>
      <c r="L146" s="2" t="s">
        <v>19</v>
      </c>
      <c r="M146" s="4">
        <v>190.0</v>
      </c>
      <c r="N146" s="4">
        <v>2.0</v>
      </c>
    </row>
    <row r="147">
      <c r="A147" s="2" t="s">
        <v>753</v>
      </c>
      <c r="B147" s="3" t="s">
        <v>754</v>
      </c>
      <c r="C147" s="3" t="s">
        <v>754</v>
      </c>
      <c r="D147" s="2" t="s">
        <v>17</v>
      </c>
      <c r="E147" s="4">
        <v>2026.0</v>
      </c>
      <c r="F147" s="4">
        <v>5.0</v>
      </c>
      <c r="G147" s="3">
        <v>46165.0</v>
      </c>
      <c r="H147" s="2" t="s">
        <v>613</v>
      </c>
      <c r="I147" s="5" t="s">
        <v>559</v>
      </c>
      <c r="J147" s="2" t="s">
        <v>560</v>
      </c>
      <c r="K147" s="5">
        <v>500000.0</v>
      </c>
      <c r="L147" s="2" t="s">
        <v>19</v>
      </c>
      <c r="M147" s="4">
        <v>191.0</v>
      </c>
      <c r="N147" s="4">
        <v>2.0</v>
      </c>
    </row>
    <row r="148">
      <c r="A148" s="2" t="s">
        <v>755</v>
      </c>
      <c r="B148" s="3" t="s">
        <v>97</v>
      </c>
      <c r="C148" s="3" t="s">
        <v>97</v>
      </c>
      <c r="D148" s="2" t="s">
        <v>17</v>
      </c>
      <c r="E148" s="4">
        <v>2026.0</v>
      </c>
      <c r="F148" s="4">
        <v>6.0</v>
      </c>
      <c r="G148" s="3">
        <v>46179.0</v>
      </c>
      <c r="H148" s="2" t="s">
        <v>602</v>
      </c>
      <c r="I148" s="5" t="s">
        <v>169</v>
      </c>
      <c r="J148" s="2" t="s">
        <v>564</v>
      </c>
      <c r="K148" s="5">
        <v>2740080.0</v>
      </c>
      <c r="L148" s="2" t="s">
        <v>19</v>
      </c>
      <c r="M148" s="4">
        <v>200.0</v>
      </c>
      <c r="N148" s="4">
        <v>1.0</v>
      </c>
    </row>
    <row r="149">
      <c r="A149" s="2" t="s">
        <v>756</v>
      </c>
      <c r="B149" s="3" t="s">
        <v>97</v>
      </c>
      <c r="C149" s="3" t="s">
        <v>97</v>
      </c>
      <c r="D149" s="2" t="s">
        <v>17</v>
      </c>
      <c r="E149" s="4">
        <v>2026.0</v>
      </c>
      <c r="F149" s="4">
        <v>6.0</v>
      </c>
      <c r="G149" s="3">
        <v>46179.0</v>
      </c>
      <c r="H149" s="2" t="s">
        <v>602</v>
      </c>
      <c r="I149" s="5" t="s">
        <v>176</v>
      </c>
      <c r="J149" s="2" t="s">
        <v>569</v>
      </c>
      <c r="K149" s="5">
        <v>3881780.0</v>
      </c>
      <c r="L149" s="2" t="s">
        <v>19</v>
      </c>
      <c r="M149" s="4">
        <v>201.0</v>
      </c>
      <c r="N149" s="4">
        <v>1.0</v>
      </c>
    </row>
    <row r="150">
      <c r="A150" s="2" t="s">
        <v>757</v>
      </c>
      <c r="B150" s="3" t="s">
        <v>97</v>
      </c>
      <c r="C150" s="3" t="s">
        <v>97</v>
      </c>
      <c r="D150" s="2" t="s">
        <v>17</v>
      </c>
      <c r="E150" s="4">
        <v>2026.0</v>
      </c>
      <c r="F150" s="4">
        <v>6.0</v>
      </c>
      <c r="G150" s="3">
        <v>46179.0</v>
      </c>
      <c r="H150" s="2" t="s">
        <v>602</v>
      </c>
      <c r="I150" s="5" t="s">
        <v>183</v>
      </c>
      <c r="K150" s="5">
        <v>700000.0</v>
      </c>
      <c r="L150" s="2" t="s">
        <v>19</v>
      </c>
      <c r="M150" s="4">
        <v>202.0</v>
      </c>
      <c r="N150" s="4">
        <v>1.0</v>
      </c>
    </row>
    <row r="151">
      <c r="A151" s="2" t="s">
        <v>758</v>
      </c>
      <c r="B151" s="3" t="s">
        <v>97</v>
      </c>
      <c r="C151" s="3" t="s">
        <v>97</v>
      </c>
      <c r="D151" s="2" t="s">
        <v>17</v>
      </c>
      <c r="E151" s="4">
        <v>2026.0</v>
      </c>
      <c r="F151" s="4">
        <v>6.0</v>
      </c>
      <c r="G151" s="3">
        <v>46179.0</v>
      </c>
      <c r="H151" s="2" t="s">
        <v>602</v>
      </c>
      <c r="I151" s="5" t="s">
        <v>188</v>
      </c>
      <c r="K151" s="5">
        <v>200000.0</v>
      </c>
      <c r="L151" s="2" t="s">
        <v>19</v>
      </c>
      <c r="M151" s="4">
        <v>203.0</v>
      </c>
      <c r="N151" s="4">
        <v>1.0</v>
      </c>
    </row>
    <row r="152">
      <c r="A152" s="2" t="s">
        <v>759</v>
      </c>
      <c r="B152" s="3" t="s">
        <v>97</v>
      </c>
      <c r="C152" s="3" t="s">
        <v>97</v>
      </c>
      <c r="D152" s="2" t="s">
        <v>17</v>
      </c>
      <c r="E152" s="4">
        <v>2026.0</v>
      </c>
      <c r="F152" s="4">
        <v>6.0</v>
      </c>
      <c r="G152" s="3">
        <v>46179.0</v>
      </c>
      <c r="H152" s="2" t="s">
        <v>237</v>
      </c>
      <c r="I152" s="5" t="s">
        <v>237</v>
      </c>
      <c r="J152" s="2" t="s">
        <v>578</v>
      </c>
      <c r="K152" s="5">
        <v>3500000.0</v>
      </c>
      <c r="L152" s="2" t="s">
        <v>19</v>
      </c>
      <c r="M152" s="4">
        <v>204.0</v>
      </c>
      <c r="N152" s="4">
        <v>1.0</v>
      </c>
    </row>
    <row r="153">
      <c r="A153" s="2" t="s">
        <v>760</v>
      </c>
      <c r="B153" s="3" t="s">
        <v>97</v>
      </c>
      <c r="C153" s="3" t="s">
        <v>97</v>
      </c>
      <c r="D153" s="2" t="s">
        <v>17</v>
      </c>
      <c r="E153" s="4">
        <v>2026.0</v>
      </c>
      <c r="F153" s="4">
        <v>6.0</v>
      </c>
      <c r="G153" s="3">
        <v>46179.0</v>
      </c>
      <c r="H153" s="2" t="s">
        <v>610</v>
      </c>
      <c r="I153" s="5" t="s">
        <v>200</v>
      </c>
      <c r="K153" s="5">
        <v>220000.0</v>
      </c>
      <c r="L153" s="2" t="s">
        <v>19</v>
      </c>
      <c r="M153" s="4">
        <v>205.0</v>
      </c>
      <c r="N153" s="4">
        <v>1.0</v>
      </c>
    </row>
    <row r="154">
      <c r="A154" s="2" t="s">
        <v>761</v>
      </c>
      <c r="B154" s="3" t="s">
        <v>97</v>
      </c>
      <c r="C154" s="3" t="s">
        <v>97</v>
      </c>
      <c r="D154" s="2" t="s">
        <v>17</v>
      </c>
      <c r="E154" s="4">
        <v>2026.0</v>
      </c>
      <c r="F154" s="4">
        <v>6.0</v>
      </c>
      <c r="G154" s="3">
        <v>46179.0</v>
      </c>
      <c r="H154" s="2" t="s">
        <v>613</v>
      </c>
      <c r="I154" s="5" t="s">
        <v>580</v>
      </c>
      <c r="K154" s="5">
        <v>400000.0</v>
      </c>
      <c r="L154" s="2" t="s">
        <v>19</v>
      </c>
      <c r="M154" s="4">
        <v>206.0</v>
      </c>
      <c r="N154" s="4">
        <v>1.0</v>
      </c>
    </row>
    <row r="155">
      <c r="A155" s="2" t="s">
        <v>762</v>
      </c>
      <c r="B155" s="3" t="s">
        <v>97</v>
      </c>
      <c r="C155" s="3" t="s">
        <v>97</v>
      </c>
      <c r="D155" s="2" t="s">
        <v>17</v>
      </c>
      <c r="E155" s="4">
        <v>2026.0</v>
      </c>
      <c r="F155" s="4">
        <v>6.0</v>
      </c>
      <c r="G155" s="3">
        <v>46179.0</v>
      </c>
      <c r="H155" s="2" t="s">
        <v>607</v>
      </c>
      <c r="I155" s="5" t="s">
        <v>582</v>
      </c>
      <c r="J155" s="2" t="s">
        <v>583</v>
      </c>
      <c r="K155" s="5">
        <v>1.4467E7</v>
      </c>
      <c r="L155" s="2" t="s">
        <v>19</v>
      </c>
      <c r="M155" s="4">
        <v>207.0</v>
      </c>
      <c r="N155" s="4">
        <v>1.0</v>
      </c>
    </row>
    <row r="156">
      <c r="A156" s="2" t="s">
        <v>763</v>
      </c>
      <c r="B156" s="3" t="s">
        <v>97</v>
      </c>
      <c r="C156" s="3" t="s">
        <v>97</v>
      </c>
      <c r="D156" s="2" t="s">
        <v>17</v>
      </c>
      <c r="E156" s="4">
        <v>2026.0</v>
      </c>
      <c r="F156" s="4">
        <v>6.0</v>
      </c>
      <c r="G156" s="3">
        <v>46179.0</v>
      </c>
      <c r="H156" s="2" t="s">
        <v>613</v>
      </c>
      <c r="I156" s="5" t="s">
        <v>211</v>
      </c>
      <c r="K156" s="5">
        <v>1235000.0</v>
      </c>
      <c r="L156" s="2" t="s">
        <v>19</v>
      </c>
      <c r="M156" s="4">
        <v>208.0</v>
      </c>
      <c r="N156" s="4">
        <v>1.0</v>
      </c>
    </row>
    <row r="157">
      <c r="A157" s="2" t="s">
        <v>764</v>
      </c>
      <c r="B157" s="3" t="s">
        <v>97</v>
      </c>
      <c r="C157" s="3" t="s">
        <v>97</v>
      </c>
      <c r="D157" s="2" t="s">
        <v>17</v>
      </c>
      <c r="E157" s="4">
        <v>2026.0</v>
      </c>
      <c r="F157" s="4">
        <v>6.0</v>
      </c>
      <c r="G157" s="3">
        <v>46179.0</v>
      </c>
      <c r="H157" s="2" t="s">
        <v>607</v>
      </c>
      <c r="I157" s="5" t="s">
        <v>588</v>
      </c>
      <c r="K157" s="5">
        <v>200000.0</v>
      </c>
      <c r="L157" s="2" t="s">
        <v>19</v>
      </c>
      <c r="M157" s="4">
        <v>209.0</v>
      </c>
      <c r="N157" s="4">
        <v>1.0</v>
      </c>
    </row>
    <row r="158">
      <c r="A158" s="2" t="s">
        <v>765</v>
      </c>
      <c r="B158" s="6">
        <v>46191.93581796296</v>
      </c>
      <c r="D158" s="2" t="s">
        <v>17</v>
      </c>
      <c r="E158" s="7">
        <v>2026.0</v>
      </c>
      <c r="F158" s="7">
        <v>6.0</v>
      </c>
      <c r="G158" s="8">
        <v>46191.0</v>
      </c>
      <c r="H158" s="2" t="s">
        <v>602</v>
      </c>
      <c r="I158" s="2" t="s">
        <v>766</v>
      </c>
      <c r="J158" s="2" t="s">
        <v>767</v>
      </c>
      <c r="K158" s="7">
        <v>2942160.0</v>
      </c>
      <c r="M158" s="2" t="s">
        <v>102</v>
      </c>
      <c r="N158" s="7">
        <v>2.0</v>
      </c>
      <c r="O158" s="2" t="s">
        <v>103</v>
      </c>
    </row>
    <row r="159">
      <c r="A159" s="2" t="s">
        <v>768</v>
      </c>
      <c r="B159" s="6">
        <v>46191.93581796296</v>
      </c>
      <c r="D159" s="2" t="s">
        <v>17</v>
      </c>
      <c r="E159" s="7">
        <v>2026.0</v>
      </c>
      <c r="F159" s="7">
        <v>6.0</v>
      </c>
      <c r="G159" s="8">
        <v>46191.0</v>
      </c>
      <c r="H159" s="2" t="s">
        <v>602</v>
      </c>
      <c r="I159" s="2" t="s">
        <v>769</v>
      </c>
      <c r="J159" s="2" t="s">
        <v>770</v>
      </c>
      <c r="K159" s="7">
        <v>4168060.0</v>
      </c>
      <c r="M159" s="2" t="s">
        <v>102</v>
      </c>
      <c r="N159" s="7">
        <v>2.0</v>
      </c>
      <c r="O159" s="2" t="s">
        <v>103</v>
      </c>
    </row>
    <row r="160">
      <c r="A160" s="2" t="s">
        <v>771</v>
      </c>
      <c r="B160" s="6">
        <v>46191.93581796296</v>
      </c>
      <c r="D160" s="2" t="s">
        <v>17</v>
      </c>
      <c r="E160" s="7">
        <v>2026.0</v>
      </c>
      <c r="F160" s="7">
        <v>6.0</v>
      </c>
      <c r="G160" s="8">
        <v>46191.0</v>
      </c>
      <c r="H160" s="2" t="s">
        <v>602</v>
      </c>
      <c r="I160" s="2" t="s">
        <v>772</v>
      </c>
      <c r="J160" s="2" t="s">
        <v>101</v>
      </c>
      <c r="K160" s="7">
        <v>700000.0</v>
      </c>
      <c r="M160" s="2" t="s">
        <v>102</v>
      </c>
      <c r="N160" s="7">
        <v>2.0</v>
      </c>
      <c r="O160" s="2" t="s">
        <v>103</v>
      </c>
    </row>
    <row r="161">
      <c r="A161" s="2" t="s">
        <v>773</v>
      </c>
      <c r="B161" s="6">
        <v>46191.93581796296</v>
      </c>
      <c r="D161" s="2" t="s">
        <v>17</v>
      </c>
      <c r="E161" s="7">
        <v>2026.0</v>
      </c>
      <c r="F161" s="7">
        <v>6.0</v>
      </c>
      <c r="G161" s="8">
        <v>46191.0</v>
      </c>
      <c r="H161" s="2" t="s">
        <v>602</v>
      </c>
      <c r="I161" s="2" t="s">
        <v>188</v>
      </c>
      <c r="J161" s="2" t="s">
        <v>101</v>
      </c>
      <c r="K161" s="7">
        <v>250000.0</v>
      </c>
      <c r="M161" s="2" t="s">
        <v>102</v>
      </c>
      <c r="N161" s="7">
        <v>2.0</v>
      </c>
      <c r="O161" s="2" t="s">
        <v>103</v>
      </c>
    </row>
    <row r="162">
      <c r="A162" s="2" t="s">
        <v>774</v>
      </c>
      <c r="B162" s="6">
        <v>46191.93581796296</v>
      </c>
      <c r="D162" s="2" t="s">
        <v>17</v>
      </c>
      <c r="E162" s="7">
        <v>2026.0</v>
      </c>
      <c r="F162" s="7">
        <v>6.0</v>
      </c>
      <c r="G162" s="8">
        <v>46191.0</v>
      </c>
      <c r="H162" s="2" t="s">
        <v>602</v>
      </c>
      <c r="I162" s="2" t="s">
        <v>413</v>
      </c>
      <c r="J162" s="2" t="s">
        <v>101</v>
      </c>
      <c r="K162" s="7">
        <v>220000.0</v>
      </c>
      <c r="M162" s="2" t="s">
        <v>102</v>
      </c>
      <c r="N162" s="7">
        <v>2.0</v>
      </c>
      <c r="O162" s="2" t="s">
        <v>103</v>
      </c>
    </row>
    <row r="163">
      <c r="A163" s="2" t="s">
        <v>775</v>
      </c>
      <c r="B163" s="6">
        <v>46191.93581796296</v>
      </c>
      <c r="D163" s="2" t="s">
        <v>17</v>
      </c>
      <c r="E163" s="7">
        <v>2026.0</v>
      </c>
      <c r="F163" s="7">
        <v>6.0</v>
      </c>
      <c r="G163" s="8">
        <v>46191.0</v>
      </c>
      <c r="H163" s="2" t="s">
        <v>602</v>
      </c>
      <c r="I163" s="2" t="s">
        <v>776</v>
      </c>
      <c r="J163" s="2" t="s">
        <v>101</v>
      </c>
      <c r="K163" s="7">
        <v>4300000.0</v>
      </c>
      <c r="M163" s="2" t="s">
        <v>102</v>
      </c>
      <c r="N163" s="7">
        <v>2.0</v>
      </c>
      <c r="O163" s="2" t="s">
        <v>103</v>
      </c>
    </row>
    <row r="164">
      <c r="A164" s="2" t="s">
        <v>777</v>
      </c>
      <c r="B164" s="6">
        <v>46191.93581796296</v>
      </c>
      <c r="D164" s="2" t="s">
        <v>17</v>
      </c>
      <c r="E164" s="7">
        <v>2026.0</v>
      </c>
      <c r="F164" s="7">
        <v>6.0</v>
      </c>
      <c r="G164" s="8">
        <v>46191.0</v>
      </c>
      <c r="H164" s="2" t="s">
        <v>602</v>
      </c>
      <c r="I164" s="2" t="s">
        <v>778</v>
      </c>
      <c r="J164" s="2" t="s">
        <v>779</v>
      </c>
      <c r="K164" s="7">
        <v>750000.0</v>
      </c>
      <c r="M164" s="2" t="s">
        <v>102</v>
      </c>
      <c r="N164" s="7">
        <v>2.0</v>
      </c>
      <c r="O164" s="2" t="s">
        <v>103</v>
      </c>
    </row>
    <row r="165">
      <c r="A165" s="2" t="s">
        <v>780</v>
      </c>
      <c r="B165" s="6">
        <v>46191.93581796296</v>
      </c>
      <c r="D165" s="2" t="s">
        <v>17</v>
      </c>
      <c r="E165" s="7">
        <v>2026.0</v>
      </c>
      <c r="F165" s="7">
        <v>6.0</v>
      </c>
      <c r="G165" s="8">
        <v>46191.0</v>
      </c>
      <c r="H165" s="2" t="s">
        <v>602</v>
      </c>
      <c r="I165" s="2" t="s">
        <v>781</v>
      </c>
      <c r="J165" s="2" t="s">
        <v>101</v>
      </c>
      <c r="K165" s="7">
        <v>350000.0</v>
      </c>
      <c r="M165" s="2" t="s">
        <v>102</v>
      </c>
      <c r="N165" s="7">
        <v>2.0</v>
      </c>
      <c r="O165" s="2" t="s">
        <v>103</v>
      </c>
    </row>
    <row r="166">
      <c r="A166" s="2" t="s">
        <v>782</v>
      </c>
      <c r="B166" s="6">
        <v>46191.93581796296</v>
      </c>
      <c r="D166" s="2" t="s">
        <v>17</v>
      </c>
      <c r="E166" s="7">
        <v>2026.0</v>
      </c>
      <c r="F166" s="7">
        <v>6.0</v>
      </c>
      <c r="G166" s="8">
        <v>46191.0</v>
      </c>
      <c r="H166" s="2" t="s">
        <v>602</v>
      </c>
      <c r="I166" s="2" t="s">
        <v>783</v>
      </c>
      <c r="J166" s="2" t="s">
        <v>101</v>
      </c>
      <c r="K166" s="7">
        <v>300000.0</v>
      </c>
      <c r="M166" s="2" t="s">
        <v>102</v>
      </c>
      <c r="N166" s="7">
        <v>2.0</v>
      </c>
      <c r="O166" s="2" t="s">
        <v>103</v>
      </c>
    </row>
    <row r="167">
      <c r="A167" s="2" t="s">
        <v>784</v>
      </c>
      <c r="B167" s="6">
        <v>46205.87581017361</v>
      </c>
      <c r="D167" s="2" t="s">
        <v>17</v>
      </c>
      <c r="E167" s="7">
        <v>2026.0</v>
      </c>
      <c r="F167" s="7">
        <v>7.0</v>
      </c>
      <c r="G167" s="8">
        <v>46205.0</v>
      </c>
      <c r="H167" s="2" t="s">
        <v>602</v>
      </c>
      <c r="I167" s="2" t="s">
        <v>766</v>
      </c>
      <c r="J167" s="2" t="s">
        <v>785</v>
      </c>
      <c r="K167" s="7">
        <v>3681000.0</v>
      </c>
      <c r="M167" s="2" t="s">
        <v>102</v>
      </c>
      <c r="N167" s="7">
        <v>1.0</v>
      </c>
      <c r="O167" s="2" t="s">
        <v>110</v>
      </c>
    </row>
    <row r="168">
      <c r="A168" s="2" t="s">
        <v>786</v>
      </c>
      <c r="B168" s="6">
        <v>46205.87581017361</v>
      </c>
      <c r="D168" s="2" t="s">
        <v>17</v>
      </c>
      <c r="E168" s="7">
        <v>2026.0</v>
      </c>
      <c r="F168" s="7">
        <v>7.0</v>
      </c>
      <c r="G168" s="8">
        <v>46205.0</v>
      </c>
      <c r="H168" s="2" t="s">
        <v>602</v>
      </c>
      <c r="I168" s="2" t="s">
        <v>769</v>
      </c>
      <c r="J168" s="2" t="s">
        <v>787</v>
      </c>
      <c r="K168" s="7">
        <v>5214750.0</v>
      </c>
      <c r="M168" s="2" t="s">
        <v>102</v>
      </c>
      <c r="N168" s="7">
        <v>1.0</v>
      </c>
      <c r="O168" s="2" t="s">
        <v>110</v>
      </c>
    </row>
    <row r="169">
      <c r="A169" s="2" t="s">
        <v>788</v>
      </c>
      <c r="B169" s="6">
        <v>46205.87581017361</v>
      </c>
      <c r="D169" s="2" t="s">
        <v>17</v>
      </c>
      <c r="E169" s="7">
        <v>2026.0</v>
      </c>
      <c r="F169" s="7">
        <v>7.0</v>
      </c>
      <c r="G169" s="8">
        <v>46205.0</v>
      </c>
      <c r="H169" s="2" t="s">
        <v>602</v>
      </c>
      <c r="I169" s="2" t="s">
        <v>772</v>
      </c>
      <c r="J169" s="2" t="s">
        <v>109</v>
      </c>
      <c r="K169" s="7">
        <v>700000.0</v>
      </c>
      <c r="M169" s="2" t="s">
        <v>102</v>
      </c>
      <c r="N169" s="7">
        <v>1.0</v>
      </c>
      <c r="O169" s="2" t="s">
        <v>110</v>
      </c>
    </row>
    <row r="170">
      <c r="A170" s="2" t="s">
        <v>789</v>
      </c>
      <c r="B170" s="6">
        <v>46205.87581017361</v>
      </c>
      <c r="D170" s="2" t="s">
        <v>17</v>
      </c>
      <c r="E170" s="7">
        <v>2026.0</v>
      </c>
      <c r="F170" s="7">
        <v>7.0</v>
      </c>
      <c r="G170" s="8">
        <v>46205.0</v>
      </c>
      <c r="H170" s="2" t="s">
        <v>602</v>
      </c>
      <c r="I170" s="2" t="s">
        <v>188</v>
      </c>
      <c r="J170" s="2" t="s">
        <v>109</v>
      </c>
      <c r="K170" s="7">
        <v>300000.0</v>
      </c>
      <c r="M170" s="2" t="s">
        <v>102</v>
      </c>
      <c r="N170" s="7">
        <v>1.0</v>
      </c>
      <c r="O170" s="2" t="s">
        <v>110</v>
      </c>
    </row>
    <row r="171">
      <c r="A171" s="2" t="s">
        <v>790</v>
      </c>
      <c r="B171" s="6">
        <v>46205.87581017361</v>
      </c>
      <c r="D171" s="2" t="s">
        <v>17</v>
      </c>
      <c r="E171" s="7">
        <v>2026.0</v>
      </c>
      <c r="F171" s="7">
        <v>7.0</v>
      </c>
      <c r="G171" s="8">
        <v>46205.0</v>
      </c>
      <c r="H171" s="2" t="s">
        <v>602</v>
      </c>
      <c r="I171" s="2" t="s">
        <v>211</v>
      </c>
      <c r="J171" s="2" t="s">
        <v>109</v>
      </c>
      <c r="K171" s="7">
        <v>1429000.0</v>
      </c>
      <c r="M171" s="2" t="s">
        <v>102</v>
      </c>
      <c r="N171" s="7">
        <v>1.0</v>
      </c>
      <c r="O171" s="2" t="s">
        <v>110</v>
      </c>
    </row>
    <row r="172">
      <c r="A172" s="2" t="s">
        <v>791</v>
      </c>
      <c r="B172" s="6">
        <v>46205.87581017361</v>
      </c>
      <c r="D172" s="2" t="s">
        <v>17</v>
      </c>
      <c r="E172" s="7">
        <v>2026.0</v>
      </c>
      <c r="F172" s="7">
        <v>7.0</v>
      </c>
      <c r="G172" s="8">
        <v>46205.0</v>
      </c>
      <c r="H172" s="2" t="s">
        <v>602</v>
      </c>
      <c r="I172" s="2" t="s">
        <v>200</v>
      </c>
      <c r="J172" s="2" t="s">
        <v>109</v>
      </c>
      <c r="K172" s="7">
        <v>220000.0</v>
      </c>
      <c r="M172" s="2" t="s">
        <v>102</v>
      </c>
      <c r="N172" s="7">
        <v>1.0</v>
      </c>
      <c r="O172" s="2" t="s">
        <v>110</v>
      </c>
    </row>
    <row r="173">
      <c r="A173" s="2" t="s">
        <v>792</v>
      </c>
      <c r="B173" s="6">
        <v>46205.87581017361</v>
      </c>
      <c r="D173" s="2" t="s">
        <v>17</v>
      </c>
      <c r="E173" s="7">
        <v>2026.0</v>
      </c>
      <c r="F173" s="7">
        <v>7.0</v>
      </c>
      <c r="G173" s="8">
        <v>46205.0</v>
      </c>
      <c r="H173" s="2" t="s">
        <v>793</v>
      </c>
      <c r="I173" s="2" t="s">
        <v>794</v>
      </c>
      <c r="J173" s="2" t="s">
        <v>795</v>
      </c>
      <c r="K173" s="7">
        <v>3150000.0</v>
      </c>
      <c r="M173" s="2" t="s">
        <v>102</v>
      </c>
      <c r="N173" s="7">
        <v>1.0</v>
      </c>
      <c r="O173" s="2" t="s">
        <v>110</v>
      </c>
    </row>
    <row r="174">
      <c r="A174" s="2" t="s">
        <v>796</v>
      </c>
      <c r="B174" s="6">
        <v>46205.87581017361</v>
      </c>
      <c r="D174" s="2" t="s">
        <v>17</v>
      </c>
      <c r="E174" s="7">
        <v>2026.0</v>
      </c>
      <c r="F174" s="7">
        <v>7.0</v>
      </c>
      <c r="G174" s="8">
        <v>46205.0</v>
      </c>
      <c r="H174" s="2" t="s">
        <v>607</v>
      </c>
      <c r="I174" s="2" t="s">
        <v>582</v>
      </c>
      <c r="J174" s="2" t="s">
        <v>797</v>
      </c>
      <c r="K174" s="7">
        <v>1.4766E7</v>
      </c>
      <c r="M174" s="2" t="s">
        <v>102</v>
      </c>
      <c r="N174" s="7">
        <v>1.0</v>
      </c>
      <c r="O174" s="2" t="s">
        <v>110</v>
      </c>
    </row>
    <row r="175">
      <c r="A175" s="2" t="s">
        <v>798</v>
      </c>
      <c r="B175" s="6">
        <v>46205.87581017361</v>
      </c>
      <c r="D175" s="2" t="s">
        <v>17</v>
      </c>
      <c r="E175" s="7">
        <v>2026.0</v>
      </c>
      <c r="F175" s="7">
        <v>7.0</v>
      </c>
      <c r="G175" s="8">
        <v>46205.0</v>
      </c>
      <c r="H175" s="2" t="s">
        <v>602</v>
      </c>
      <c r="I175" s="2" t="s">
        <v>799</v>
      </c>
      <c r="J175" s="2" t="s">
        <v>109</v>
      </c>
      <c r="K175" s="7">
        <v>400000.0</v>
      </c>
      <c r="M175" s="2" t="s">
        <v>102</v>
      </c>
      <c r="N175" s="7">
        <v>1.0</v>
      </c>
      <c r="O175" s="2" t="s">
        <v>110</v>
      </c>
    </row>
    <row r="176">
      <c r="A176" s="2" t="s">
        <v>800</v>
      </c>
      <c r="B176" s="6">
        <v>46205.87581017361</v>
      </c>
      <c r="D176" s="2" t="s">
        <v>17</v>
      </c>
      <c r="E176" s="7">
        <v>2026.0</v>
      </c>
      <c r="F176" s="7">
        <v>7.0</v>
      </c>
      <c r="G176" s="8">
        <v>46205.0</v>
      </c>
      <c r="H176" s="2" t="s">
        <v>237</v>
      </c>
      <c r="I176" s="2" t="s">
        <v>451</v>
      </c>
      <c r="J176" s="2" t="s">
        <v>801</v>
      </c>
      <c r="K176" s="7">
        <v>1.05E7</v>
      </c>
      <c r="M176" s="2" t="s">
        <v>102</v>
      </c>
      <c r="N176" s="7">
        <v>1.0</v>
      </c>
      <c r="O176" s="2" t="s">
        <v>110</v>
      </c>
    </row>
    <row r="177">
      <c r="A177" s="2" t="s">
        <v>802</v>
      </c>
      <c r="B177" s="6">
        <v>46205.87581017361</v>
      </c>
      <c r="D177" s="2" t="s">
        <v>17</v>
      </c>
      <c r="E177" s="7">
        <v>2026.0</v>
      </c>
      <c r="F177" s="7">
        <v>7.0</v>
      </c>
      <c r="G177" s="8">
        <v>46205.0</v>
      </c>
      <c r="H177" s="2" t="s">
        <v>602</v>
      </c>
      <c r="I177" s="2" t="s">
        <v>803</v>
      </c>
      <c r="J177" s="2" t="s">
        <v>109</v>
      </c>
      <c r="K177" s="7">
        <v>850000.0</v>
      </c>
      <c r="M177" s="2" t="s">
        <v>102</v>
      </c>
      <c r="N177" s="7">
        <v>1.0</v>
      </c>
      <c r="O177" s="2" t="s">
        <v>110</v>
      </c>
    </row>
  </sheetData>
  <autoFilter ref="$A$1:$O$177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A34A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hidden="1" min="1" max="1" width="16.88"/>
    <col customWidth="1" hidden="1" min="2" max="3" width="20.5"/>
    <col customWidth="1" min="4" max="4" width="8.0"/>
    <col customWidth="1" min="5" max="6" width="12.0"/>
    <col customWidth="1" min="7" max="7" width="12.38"/>
    <col customWidth="1" min="8" max="8" width="13.5"/>
    <col customWidth="1" min="9" max="9" width="31.38"/>
    <col customWidth="1" min="10" max="10" width="9.13"/>
    <col customWidth="1" min="11" max="11" width="12.63"/>
    <col customWidth="1" min="12" max="12" width="12.25"/>
    <col customWidth="1" min="13" max="13" width="31.38"/>
    <col customWidth="1" min="14" max="14" width="11.75"/>
    <col customWidth="1" min="15" max="15" width="10.38"/>
    <col customWidth="1" min="16" max="16" width="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804</v>
      </c>
      <c r="I1" s="1" t="s">
        <v>10</v>
      </c>
      <c r="J1" s="1" t="s">
        <v>9</v>
      </c>
      <c r="K1" s="1" t="s">
        <v>805</v>
      </c>
      <c r="L1" s="1" t="s">
        <v>806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2" t="s">
        <v>807</v>
      </c>
      <c r="B2" s="3" t="s">
        <v>16</v>
      </c>
      <c r="C2" s="3" t="s">
        <v>16</v>
      </c>
      <c r="D2" s="2" t="s">
        <v>17</v>
      </c>
      <c r="E2" s="4">
        <v>2026.0</v>
      </c>
      <c r="F2" s="4">
        <v>1.0</v>
      </c>
      <c r="G2" s="3">
        <v>46013.0</v>
      </c>
      <c r="H2" s="2" t="s">
        <v>808</v>
      </c>
      <c r="I2" s="2" t="s">
        <v>809</v>
      </c>
      <c r="J2" s="5">
        <v>1.4E7</v>
      </c>
      <c r="K2" s="2" t="s">
        <v>810</v>
      </c>
      <c r="L2" s="2" t="s">
        <v>810</v>
      </c>
      <c r="M2" s="2" t="s">
        <v>19</v>
      </c>
      <c r="N2" s="4">
        <v>2.0</v>
      </c>
      <c r="O2" s="4">
        <v>1.0</v>
      </c>
    </row>
    <row r="3">
      <c r="A3" s="2" t="s">
        <v>811</v>
      </c>
      <c r="B3" s="3" t="s">
        <v>16</v>
      </c>
      <c r="C3" s="3" t="s">
        <v>16</v>
      </c>
      <c r="D3" s="2" t="s">
        <v>17</v>
      </c>
      <c r="E3" s="4">
        <v>2026.0</v>
      </c>
      <c r="F3" s="4">
        <v>1.0</v>
      </c>
      <c r="G3" s="3">
        <v>46013.0</v>
      </c>
      <c r="H3" s="2" t="s">
        <v>166</v>
      </c>
      <c r="I3" s="2" t="s">
        <v>812</v>
      </c>
      <c r="J3" s="5">
        <v>6000000.0</v>
      </c>
      <c r="K3" s="2" t="s">
        <v>810</v>
      </c>
      <c r="L3" s="2" t="s">
        <v>810</v>
      </c>
      <c r="M3" s="2" t="s">
        <v>19</v>
      </c>
      <c r="N3" s="4">
        <v>5.0</v>
      </c>
      <c r="O3" s="4">
        <v>1.0</v>
      </c>
    </row>
    <row r="4">
      <c r="A4" s="2" t="s">
        <v>813</v>
      </c>
      <c r="B4" s="3" t="s">
        <v>16</v>
      </c>
      <c r="C4" s="3" t="s">
        <v>16</v>
      </c>
      <c r="D4" s="2" t="s">
        <v>17</v>
      </c>
      <c r="E4" s="4">
        <v>2026.0</v>
      </c>
      <c r="F4" s="4">
        <v>1.0</v>
      </c>
      <c r="G4" s="3">
        <v>46013.0</v>
      </c>
      <c r="H4" s="2" t="s">
        <v>205</v>
      </c>
      <c r="I4" s="2" t="s">
        <v>814</v>
      </c>
      <c r="J4" s="5">
        <v>4.378943E7</v>
      </c>
      <c r="K4" s="2" t="s">
        <v>810</v>
      </c>
      <c r="L4" s="2" t="s">
        <v>810</v>
      </c>
      <c r="M4" s="2" t="s">
        <v>19</v>
      </c>
      <c r="N4" s="4">
        <v>9.0</v>
      </c>
      <c r="O4" s="4">
        <v>1.0</v>
      </c>
    </row>
    <row r="5">
      <c r="A5" s="2" t="s">
        <v>815</v>
      </c>
      <c r="B5" s="3" t="s">
        <v>621</v>
      </c>
      <c r="C5" s="3" t="s">
        <v>621</v>
      </c>
      <c r="D5" s="2" t="s">
        <v>17</v>
      </c>
      <c r="E5" s="4">
        <v>2026.0</v>
      </c>
      <c r="F5" s="4">
        <v>1.0</v>
      </c>
      <c r="G5" s="3">
        <v>46026.0</v>
      </c>
      <c r="H5" s="2" t="s">
        <v>816</v>
      </c>
      <c r="I5" s="2" t="s">
        <v>817</v>
      </c>
      <c r="J5" s="5">
        <v>6000000.0</v>
      </c>
      <c r="K5" s="2" t="s">
        <v>810</v>
      </c>
      <c r="L5" s="2" t="s">
        <v>810</v>
      </c>
      <c r="M5" s="2" t="s">
        <v>19</v>
      </c>
      <c r="N5" s="4">
        <v>24.0</v>
      </c>
      <c r="O5" s="4">
        <v>2.0</v>
      </c>
    </row>
    <row r="6">
      <c r="A6" s="2" t="s">
        <v>818</v>
      </c>
      <c r="B6" s="3" t="s">
        <v>621</v>
      </c>
      <c r="C6" s="3" t="s">
        <v>621</v>
      </c>
      <c r="D6" s="2" t="s">
        <v>17</v>
      </c>
      <c r="E6" s="4">
        <v>2026.0</v>
      </c>
      <c r="F6" s="4">
        <v>1.0</v>
      </c>
      <c r="G6" s="3">
        <v>46026.0</v>
      </c>
      <c r="H6" s="2" t="s">
        <v>205</v>
      </c>
      <c r="I6" s="2" t="s">
        <v>819</v>
      </c>
      <c r="J6" s="5">
        <v>3.2E7</v>
      </c>
      <c r="K6" s="2" t="s">
        <v>810</v>
      </c>
      <c r="L6" s="2" t="s">
        <v>810</v>
      </c>
      <c r="M6" s="2" t="s">
        <v>19</v>
      </c>
      <c r="N6" s="4">
        <v>27.0</v>
      </c>
      <c r="O6" s="4">
        <v>2.0</v>
      </c>
    </row>
    <row r="7">
      <c r="A7" s="2" t="s">
        <v>820</v>
      </c>
      <c r="B7" s="3" t="s">
        <v>32</v>
      </c>
      <c r="C7" s="3" t="s">
        <v>32</v>
      </c>
      <c r="D7" s="2" t="s">
        <v>17</v>
      </c>
      <c r="E7" s="4">
        <v>2026.0</v>
      </c>
      <c r="F7" s="4">
        <v>1.0</v>
      </c>
      <c r="G7" s="3">
        <v>46041.0</v>
      </c>
      <c r="H7" s="2" t="s">
        <v>808</v>
      </c>
      <c r="I7" s="2" t="s">
        <v>821</v>
      </c>
      <c r="J7" s="5">
        <v>6000000.0</v>
      </c>
      <c r="K7" s="2" t="s">
        <v>810</v>
      </c>
      <c r="L7" s="2" t="s">
        <v>810</v>
      </c>
      <c r="M7" s="2" t="s">
        <v>19</v>
      </c>
      <c r="N7" s="4">
        <v>38.0</v>
      </c>
      <c r="O7" s="4">
        <v>3.0</v>
      </c>
    </row>
    <row r="8">
      <c r="A8" s="2" t="s">
        <v>822</v>
      </c>
      <c r="B8" s="3" t="s">
        <v>32</v>
      </c>
      <c r="C8" s="3" t="s">
        <v>32</v>
      </c>
      <c r="D8" s="2" t="s">
        <v>17</v>
      </c>
      <c r="E8" s="4">
        <v>2026.0</v>
      </c>
      <c r="F8" s="4">
        <v>1.0</v>
      </c>
      <c r="G8" s="3">
        <v>46041.0</v>
      </c>
      <c r="H8" s="2" t="s">
        <v>166</v>
      </c>
      <c r="I8" s="2" t="s">
        <v>823</v>
      </c>
      <c r="J8" s="5">
        <v>6000000.0</v>
      </c>
      <c r="K8" s="2" t="s">
        <v>810</v>
      </c>
      <c r="L8" s="2" t="s">
        <v>810</v>
      </c>
      <c r="M8" s="2" t="s">
        <v>19</v>
      </c>
      <c r="N8" s="4">
        <v>41.0</v>
      </c>
      <c r="O8" s="4">
        <v>3.0</v>
      </c>
    </row>
    <row r="9">
      <c r="A9" s="2" t="s">
        <v>824</v>
      </c>
      <c r="B9" s="3" t="s">
        <v>32</v>
      </c>
      <c r="C9" s="3" t="s">
        <v>32</v>
      </c>
      <c r="D9" s="2" t="s">
        <v>17</v>
      </c>
      <c r="E9" s="4">
        <v>2026.0</v>
      </c>
      <c r="F9" s="4">
        <v>1.0</v>
      </c>
      <c r="G9" s="3">
        <v>46041.0</v>
      </c>
      <c r="H9" s="2" t="s">
        <v>205</v>
      </c>
      <c r="I9" s="2" t="s">
        <v>825</v>
      </c>
      <c r="J9" s="5">
        <v>2.3E7</v>
      </c>
      <c r="K9" s="2" t="s">
        <v>810</v>
      </c>
      <c r="L9" s="2" t="s">
        <v>810</v>
      </c>
      <c r="M9" s="2" t="s">
        <v>19</v>
      </c>
      <c r="N9" s="4">
        <v>45.0</v>
      </c>
      <c r="O9" s="4">
        <v>3.0</v>
      </c>
    </row>
    <row r="10">
      <c r="A10" s="2" t="s">
        <v>826</v>
      </c>
      <c r="B10" s="3" t="s">
        <v>42</v>
      </c>
      <c r="C10" s="3" t="s">
        <v>42</v>
      </c>
      <c r="D10" s="2" t="s">
        <v>17</v>
      </c>
      <c r="E10" s="4">
        <v>2026.0</v>
      </c>
      <c r="F10" s="4">
        <v>2.0</v>
      </c>
      <c r="G10" s="3">
        <v>46055.0</v>
      </c>
      <c r="H10" s="2" t="s">
        <v>808</v>
      </c>
      <c r="I10" s="2" t="s">
        <v>827</v>
      </c>
      <c r="J10" s="5">
        <v>1.5E7</v>
      </c>
      <c r="K10" s="2" t="s">
        <v>810</v>
      </c>
      <c r="L10" s="2" t="s">
        <v>810</v>
      </c>
      <c r="M10" s="2" t="s">
        <v>19</v>
      </c>
      <c r="N10" s="4">
        <v>56.0</v>
      </c>
      <c r="O10" s="4">
        <v>1.0</v>
      </c>
    </row>
    <row r="11">
      <c r="A11" s="2" t="s">
        <v>828</v>
      </c>
      <c r="B11" s="3" t="s">
        <v>42</v>
      </c>
      <c r="C11" s="3" t="s">
        <v>42</v>
      </c>
      <c r="D11" s="2" t="s">
        <v>17</v>
      </c>
      <c r="E11" s="4">
        <v>2026.0</v>
      </c>
      <c r="F11" s="4">
        <v>2.0</v>
      </c>
      <c r="G11" s="3">
        <v>46055.0</v>
      </c>
      <c r="H11" s="2" t="s">
        <v>816</v>
      </c>
      <c r="I11" s="2" t="s">
        <v>829</v>
      </c>
      <c r="J11" s="5">
        <v>6000000.0</v>
      </c>
      <c r="K11" s="2" t="s">
        <v>810</v>
      </c>
      <c r="L11" s="2" t="s">
        <v>810</v>
      </c>
      <c r="M11" s="2" t="s">
        <v>19</v>
      </c>
      <c r="N11" s="4">
        <v>60.0</v>
      </c>
      <c r="O11" s="4">
        <v>1.0</v>
      </c>
    </row>
    <row r="12">
      <c r="A12" s="2" t="s">
        <v>830</v>
      </c>
      <c r="B12" s="3" t="s">
        <v>46</v>
      </c>
      <c r="C12" s="3" t="s">
        <v>46</v>
      </c>
      <c r="D12" s="2" t="s">
        <v>17</v>
      </c>
      <c r="E12" s="4">
        <v>2026.0</v>
      </c>
      <c r="F12" s="4">
        <v>2.0</v>
      </c>
      <c r="G12" s="3">
        <v>46068.0</v>
      </c>
      <c r="H12" s="2" t="s">
        <v>808</v>
      </c>
      <c r="I12" s="2" t="s">
        <v>831</v>
      </c>
      <c r="J12" s="5">
        <v>3.2E7</v>
      </c>
      <c r="K12" s="2" t="s">
        <v>810</v>
      </c>
      <c r="L12" s="2" t="s">
        <v>810</v>
      </c>
      <c r="M12" s="2" t="s">
        <v>19</v>
      </c>
      <c r="N12" s="4">
        <v>74.0</v>
      </c>
      <c r="O12" s="4">
        <v>2.0</v>
      </c>
    </row>
    <row r="13">
      <c r="A13" s="2" t="s">
        <v>832</v>
      </c>
      <c r="B13" s="3" t="s">
        <v>52</v>
      </c>
      <c r="C13" s="3" t="s">
        <v>52</v>
      </c>
      <c r="D13" s="2" t="s">
        <v>17</v>
      </c>
      <c r="E13" s="4">
        <v>2026.0</v>
      </c>
      <c r="F13" s="4">
        <v>2.0</v>
      </c>
      <c r="G13" s="3">
        <v>46068.0</v>
      </c>
      <c r="H13" s="2" t="s">
        <v>166</v>
      </c>
      <c r="I13" s="2" t="s">
        <v>833</v>
      </c>
      <c r="J13" s="5">
        <v>4000000.0</v>
      </c>
      <c r="K13" s="2" t="s">
        <v>810</v>
      </c>
      <c r="L13" s="2" t="s">
        <v>810</v>
      </c>
      <c r="M13" s="2" t="s">
        <v>19</v>
      </c>
      <c r="N13" s="4">
        <v>77.0</v>
      </c>
      <c r="O13" s="4">
        <v>2.0</v>
      </c>
    </row>
    <row r="14">
      <c r="A14" s="2" t="s">
        <v>834</v>
      </c>
      <c r="B14" s="3" t="s">
        <v>52</v>
      </c>
      <c r="C14" s="3" t="s">
        <v>52</v>
      </c>
      <c r="D14" s="2" t="s">
        <v>17</v>
      </c>
      <c r="E14" s="4">
        <v>2026.0</v>
      </c>
      <c r="F14" s="4">
        <v>2.0</v>
      </c>
      <c r="G14" s="3">
        <v>46068.0</v>
      </c>
      <c r="H14" s="2" t="s">
        <v>205</v>
      </c>
      <c r="I14" s="2" t="s">
        <v>835</v>
      </c>
      <c r="J14" s="5">
        <v>2.45E7</v>
      </c>
      <c r="K14" s="2" t="s">
        <v>810</v>
      </c>
      <c r="L14" s="2" t="s">
        <v>810</v>
      </c>
      <c r="M14" s="2" t="s">
        <v>19</v>
      </c>
      <c r="N14" s="4">
        <v>81.0</v>
      </c>
      <c r="O14" s="4">
        <v>2.0</v>
      </c>
    </row>
    <row r="15">
      <c r="A15" s="2" t="s">
        <v>836</v>
      </c>
      <c r="B15" s="3" t="s">
        <v>54</v>
      </c>
      <c r="C15" s="3" t="s">
        <v>54</v>
      </c>
      <c r="D15" s="2" t="s">
        <v>17</v>
      </c>
      <c r="E15" s="4">
        <v>2026.0</v>
      </c>
      <c r="F15" s="4">
        <v>3.0</v>
      </c>
      <c r="G15" s="3">
        <v>46094.0</v>
      </c>
      <c r="H15" s="2" t="s">
        <v>808</v>
      </c>
      <c r="I15" s="2" t="s">
        <v>837</v>
      </c>
      <c r="J15" s="5">
        <v>1804770.0</v>
      </c>
      <c r="K15" s="2" t="s">
        <v>810</v>
      </c>
      <c r="L15" s="2" t="s">
        <v>810</v>
      </c>
      <c r="M15" s="2" t="s">
        <v>19</v>
      </c>
      <c r="N15" s="4">
        <v>92.0</v>
      </c>
      <c r="O15" s="4">
        <v>1.0</v>
      </c>
    </row>
    <row r="16">
      <c r="A16" s="2" t="s">
        <v>838</v>
      </c>
      <c r="B16" s="3" t="s">
        <v>59</v>
      </c>
      <c r="C16" s="3" t="s">
        <v>59</v>
      </c>
      <c r="D16" s="2" t="s">
        <v>17</v>
      </c>
      <c r="E16" s="4">
        <v>2026.0</v>
      </c>
      <c r="F16" s="4">
        <v>3.0</v>
      </c>
      <c r="G16" s="3">
        <v>46094.0</v>
      </c>
      <c r="H16" s="2" t="s">
        <v>166</v>
      </c>
      <c r="I16" s="2" t="s">
        <v>839</v>
      </c>
      <c r="J16" s="5">
        <v>4500000.0</v>
      </c>
      <c r="K16" s="2" t="s">
        <v>810</v>
      </c>
      <c r="L16" s="2" t="s">
        <v>810</v>
      </c>
      <c r="M16" s="2" t="s">
        <v>19</v>
      </c>
      <c r="N16" s="4">
        <v>95.0</v>
      </c>
      <c r="O16" s="4">
        <v>1.0</v>
      </c>
    </row>
    <row r="17">
      <c r="A17" s="2" t="s">
        <v>840</v>
      </c>
      <c r="B17" s="3" t="s">
        <v>59</v>
      </c>
      <c r="C17" s="3" t="s">
        <v>59</v>
      </c>
      <c r="D17" s="2" t="s">
        <v>17</v>
      </c>
      <c r="E17" s="4">
        <v>2026.0</v>
      </c>
      <c r="F17" s="4">
        <v>3.0</v>
      </c>
      <c r="G17" s="3">
        <v>46094.0</v>
      </c>
      <c r="H17" s="2" t="s">
        <v>816</v>
      </c>
      <c r="I17" s="2" t="s">
        <v>841</v>
      </c>
      <c r="J17" s="5">
        <v>4000000.0</v>
      </c>
      <c r="K17" s="2" t="s">
        <v>810</v>
      </c>
      <c r="L17" s="2" t="s">
        <v>810</v>
      </c>
      <c r="M17" s="2" t="s">
        <v>19</v>
      </c>
      <c r="N17" s="4">
        <v>96.0</v>
      </c>
      <c r="O17" s="4">
        <v>1.0</v>
      </c>
    </row>
    <row r="18">
      <c r="A18" s="2" t="s">
        <v>842</v>
      </c>
      <c r="B18" s="3" t="s">
        <v>59</v>
      </c>
      <c r="C18" s="3" t="s">
        <v>59</v>
      </c>
      <c r="D18" s="2" t="s">
        <v>17</v>
      </c>
      <c r="E18" s="4">
        <v>2026.0</v>
      </c>
      <c r="F18" s="4">
        <v>3.0</v>
      </c>
      <c r="G18" s="3">
        <v>46094.0</v>
      </c>
      <c r="H18" s="2" t="s">
        <v>205</v>
      </c>
      <c r="I18" s="2" t="s">
        <v>843</v>
      </c>
      <c r="J18" s="5">
        <v>4.9E7</v>
      </c>
      <c r="K18" s="2" t="s">
        <v>810</v>
      </c>
      <c r="L18" s="2" t="s">
        <v>810</v>
      </c>
      <c r="M18" s="2" t="s">
        <v>19</v>
      </c>
      <c r="N18" s="4">
        <v>99.0</v>
      </c>
      <c r="O18" s="4">
        <v>1.0</v>
      </c>
    </row>
    <row r="19">
      <c r="A19" s="2" t="s">
        <v>844</v>
      </c>
      <c r="B19" s="3" t="s">
        <v>63</v>
      </c>
      <c r="C19" s="3" t="s">
        <v>63</v>
      </c>
      <c r="D19" s="2" t="s">
        <v>17</v>
      </c>
      <c r="E19" s="4">
        <v>2026.0</v>
      </c>
      <c r="F19" s="4">
        <v>3.0</v>
      </c>
      <c r="G19" s="3">
        <v>46108.0</v>
      </c>
      <c r="H19" s="2" t="s">
        <v>816</v>
      </c>
      <c r="I19" s="2" t="s">
        <v>845</v>
      </c>
      <c r="J19" s="5">
        <v>4500000.0</v>
      </c>
      <c r="K19" s="2" t="s">
        <v>810</v>
      </c>
      <c r="L19" s="2" t="s">
        <v>810</v>
      </c>
      <c r="M19" s="2" t="s">
        <v>19</v>
      </c>
      <c r="N19" s="4">
        <v>114.0</v>
      </c>
      <c r="O19" s="4">
        <v>2.0</v>
      </c>
    </row>
    <row r="20">
      <c r="A20" s="2" t="s">
        <v>846</v>
      </c>
      <c r="B20" s="3" t="s">
        <v>63</v>
      </c>
      <c r="C20" s="3" t="s">
        <v>63</v>
      </c>
      <c r="D20" s="2" t="s">
        <v>17</v>
      </c>
      <c r="E20" s="4">
        <v>2026.0</v>
      </c>
      <c r="F20" s="4">
        <v>3.0</v>
      </c>
      <c r="G20" s="3">
        <v>46108.0</v>
      </c>
      <c r="H20" s="2" t="s">
        <v>205</v>
      </c>
      <c r="I20" s="2" t="s">
        <v>847</v>
      </c>
      <c r="J20" s="5">
        <v>3.8E7</v>
      </c>
      <c r="K20" s="2" t="s">
        <v>810</v>
      </c>
      <c r="L20" s="2" t="s">
        <v>810</v>
      </c>
      <c r="M20" s="2" t="s">
        <v>19</v>
      </c>
      <c r="N20" s="4">
        <v>117.0</v>
      </c>
      <c r="O20" s="4">
        <v>2.0</v>
      </c>
    </row>
    <row r="21">
      <c r="A21" s="2" t="s">
        <v>848</v>
      </c>
      <c r="B21" s="3" t="s">
        <v>69</v>
      </c>
      <c r="C21" s="3" t="s">
        <v>69</v>
      </c>
      <c r="D21" s="2" t="s">
        <v>17</v>
      </c>
      <c r="E21" s="4">
        <v>2026.0</v>
      </c>
      <c r="F21" s="4">
        <v>4.0</v>
      </c>
      <c r="G21" s="3">
        <v>46123.0</v>
      </c>
      <c r="H21" s="2" t="s">
        <v>166</v>
      </c>
      <c r="I21" s="2" t="s">
        <v>849</v>
      </c>
      <c r="J21" s="5">
        <v>2000000.0</v>
      </c>
      <c r="K21" s="2" t="s">
        <v>810</v>
      </c>
      <c r="L21" s="2" t="s">
        <v>810</v>
      </c>
      <c r="M21" s="2" t="s">
        <v>19</v>
      </c>
      <c r="N21" s="4">
        <v>131.0</v>
      </c>
      <c r="O21" s="4">
        <v>1.0</v>
      </c>
    </row>
    <row r="22">
      <c r="A22" s="2" t="s">
        <v>850</v>
      </c>
      <c r="B22" s="3" t="s">
        <v>69</v>
      </c>
      <c r="C22" s="3" t="s">
        <v>69</v>
      </c>
      <c r="D22" s="2" t="s">
        <v>17</v>
      </c>
      <c r="E22" s="4">
        <v>2026.0</v>
      </c>
      <c r="F22" s="4">
        <v>4.0</v>
      </c>
      <c r="G22" s="3">
        <v>46123.0</v>
      </c>
      <c r="H22" s="2" t="s">
        <v>205</v>
      </c>
      <c r="I22" s="2" t="s">
        <v>851</v>
      </c>
      <c r="J22" s="5">
        <v>3.7E7</v>
      </c>
      <c r="K22" s="2" t="s">
        <v>810</v>
      </c>
      <c r="L22" s="2" t="s">
        <v>810</v>
      </c>
      <c r="M22" s="2" t="s">
        <v>19</v>
      </c>
      <c r="N22" s="4">
        <v>135.0</v>
      </c>
      <c r="O22" s="4">
        <v>1.0</v>
      </c>
    </row>
    <row r="23">
      <c r="A23" s="2" t="s">
        <v>852</v>
      </c>
      <c r="B23" s="3" t="s">
        <v>76</v>
      </c>
      <c r="C23" s="3" t="s">
        <v>76</v>
      </c>
      <c r="D23" s="2" t="s">
        <v>17</v>
      </c>
      <c r="E23" s="4">
        <v>2026.0</v>
      </c>
      <c r="F23" s="4">
        <v>4.0</v>
      </c>
      <c r="G23" s="3">
        <v>46138.0</v>
      </c>
      <c r="H23" s="2" t="s">
        <v>808</v>
      </c>
      <c r="I23" s="2" t="s">
        <v>853</v>
      </c>
      <c r="J23" s="5">
        <v>1.9E7</v>
      </c>
      <c r="K23" s="2" t="s">
        <v>810</v>
      </c>
      <c r="L23" s="2" t="s">
        <v>810</v>
      </c>
      <c r="M23" s="2" t="s">
        <v>19</v>
      </c>
      <c r="N23" s="4">
        <v>146.0</v>
      </c>
      <c r="O23" s="4">
        <v>2.0</v>
      </c>
    </row>
    <row r="24">
      <c r="A24" s="2" t="s">
        <v>854</v>
      </c>
      <c r="B24" s="3" t="s">
        <v>76</v>
      </c>
      <c r="C24" s="3" t="s">
        <v>76</v>
      </c>
      <c r="D24" s="2" t="s">
        <v>17</v>
      </c>
      <c r="E24" s="4">
        <v>2026.0</v>
      </c>
      <c r="F24" s="4">
        <v>4.0</v>
      </c>
      <c r="G24" s="3">
        <v>46138.0</v>
      </c>
      <c r="H24" s="2" t="s">
        <v>816</v>
      </c>
      <c r="I24" s="2" t="s">
        <v>855</v>
      </c>
      <c r="J24" s="5">
        <v>2000000.0</v>
      </c>
      <c r="K24" s="2" t="s">
        <v>810</v>
      </c>
      <c r="L24" s="2" t="s">
        <v>810</v>
      </c>
      <c r="M24" s="2" t="s">
        <v>19</v>
      </c>
      <c r="N24" s="4">
        <v>150.0</v>
      </c>
      <c r="O24" s="4">
        <v>2.0</v>
      </c>
    </row>
    <row r="25">
      <c r="A25" s="2" t="s">
        <v>856</v>
      </c>
      <c r="B25" s="3" t="s">
        <v>76</v>
      </c>
      <c r="C25" s="3" t="s">
        <v>76</v>
      </c>
      <c r="D25" s="2" t="s">
        <v>17</v>
      </c>
      <c r="E25" s="4">
        <v>2026.0</v>
      </c>
      <c r="F25" s="4">
        <v>4.0</v>
      </c>
      <c r="G25" s="3">
        <v>46138.0</v>
      </c>
      <c r="H25" s="2" t="s">
        <v>205</v>
      </c>
      <c r="I25" s="2" t="s">
        <v>857</v>
      </c>
      <c r="J25" s="5">
        <v>2.4E7</v>
      </c>
      <c r="K25" s="2" t="s">
        <v>810</v>
      </c>
      <c r="L25" s="2" t="s">
        <v>810</v>
      </c>
      <c r="M25" s="2" t="s">
        <v>19</v>
      </c>
      <c r="N25" s="4">
        <v>153.0</v>
      </c>
      <c r="O25" s="4">
        <v>2.0</v>
      </c>
    </row>
    <row r="26">
      <c r="A26" s="2" t="s">
        <v>858</v>
      </c>
      <c r="B26" s="3" t="s">
        <v>82</v>
      </c>
      <c r="C26" s="3" t="s">
        <v>82</v>
      </c>
      <c r="D26" s="2" t="s">
        <v>17</v>
      </c>
      <c r="E26" s="4">
        <v>2026.0</v>
      </c>
      <c r="F26" s="4">
        <v>5.0</v>
      </c>
      <c r="G26" s="3">
        <v>46151.0</v>
      </c>
      <c r="H26" s="2" t="s">
        <v>808</v>
      </c>
      <c r="I26" s="2" t="s">
        <v>859</v>
      </c>
      <c r="J26" s="5">
        <v>1.4E7</v>
      </c>
      <c r="K26" s="2" t="s">
        <v>810</v>
      </c>
      <c r="L26" s="2" t="s">
        <v>810</v>
      </c>
      <c r="M26" s="2" t="s">
        <v>19</v>
      </c>
      <c r="N26" s="4">
        <v>164.0</v>
      </c>
      <c r="O26" s="4">
        <v>1.0</v>
      </c>
    </row>
    <row r="27">
      <c r="A27" s="2" t="s">
        <v>860</v>
      </c>
      <c r="B27" s="3" t="s">
        <v>82</v>
      </c>
      <c r="C27" s="3" t="s">
        <v>82</v>
      </c>
      <c r="D27" s="2" t="s">
        <v>17</v>
      </c>
      <c r="E27" s="4">
        <v>2026.0</v>
      </c>
      <c r="F27" s="4">
        <v>5.0</v>
      </c>
      <c r="G27" s="3">
        <v>46151.0</v>
      </c>
      <c r="H27" s="2" t="s">
        <v>166</v>
      </c>
      <c r="I27" s="2" t="s">
        <v>861</v>
      </c>
      <c r="J27" s="5">
        <v>4000000.0</v>
      </c>
      <c r="K27" s="2" t="s">
        <v>810</v>
      </c>
      <c r="L27" s="2" t="s">
        <v>810</v>
      </c>
      <c r="M27" s="2" t="s">
        <v>19</v>
      </c>
      <c r="N27" s="4">
        <v>167.0</v>
      </c>
      <c r="O27" s="4">
        <v>1.0</v>
      </c>
    </row>
    <row r="28">
      <c r="A28" s="2" t="s">
        <v>862</v>
      </c>
      <c r="B28" s="3" t="s">
        <v>82</v>
      </c>
      <c r="C28" s="3" t="s">
        <v>82</v>
      </c>
      <c r="D28" s="2" t="s">
        <v>17</v>
      </c>
      <c r="E28" s="4">
        <v>2026.0</v>
      </c>
      <c r="F28" s="4">
        <v>5.0</v>
      </c>
      <c r="G28" s="3">
        <v>46151.0</v>
      </c>
      <c r="H28" s="2" t="s">
        <v>205</v>
      </c>
      <c r="I28" s="2" t="s">
        <v>863</v>
      </c>
      <c r="J28" s="5">
        <v>5.0E7</v>
      </c>
      <c r="K28" s="2" t="s">
        <v>810</v>
      </c>
      <c r="L28" s="2" t="s">
        <v>810</v>
      </c>
      <c r="M28" s="2" t="s">
        <v>19</v>
      </c>
      <c r="N28" s="4">
        <v>171.0</v>
      </c>
      <c r="O28" s="4">
        <v>1.0</v>
      </c>
    </row>
    <row r="29">
      <c r="A29" s="2" t="s">
        <v>864</v>
      </c>
      <c r="B29" s="3" t="s">
        <v>88</v>
      </c>
      <c r="C29" s="3" t="s">
        <v>88</v>
      </c>
      <c r="D29" s="2" t="s">
        <v>17</v>
      </c>
      <c r="E29" s="4">
        <v>2026.0</v>
      </c>
      <c r="F29" s="4">
        <v>5.0</v>
      </c>
      <c r="G29" s="3">
        <v>46165.0</v>
      </c>
      <c r="H29" s="2" t="s">
        <v>808</v>
      </c>
      <c r="I29" s="2" t="s">
        <v>865</v>
      </c>
      <c r="J29" s="5">
        <v>1.4749E7</v>
      </c>
      <c r="K29" s="2" t="s">
        <v>810</v>
      </c>
      <c r="L29" s="2" t="s">
        <v>810</v>
      </c>
      <c r="M29" s="2" t="s">
        <v>19</v>
      </c>
      <c r="N29" s="4">
        <v>182.0</v>
      </c>
      <c r="O29" s="4">
        <v>2.0</v>
      </c>
    </row>
    <row r="30">
      <c r="A30" s="2" t="s">
        <v>866</v>
      </c>
      <c r="B30" s="3" t="s">
        <v>88</v>
      </c>
      <c r="C30" s="3" t="s">
        <v>88</v>
      </c>
      <c r="D30" s="2" t="s">
        <v>17</v>
      </c>
      <c r="E30" s="4">
        <v>2026.0</v>
      </c>
      <c r="F30" s="4">
        <v>5.0</v>
      </c>
      <c r="G30" s="3">
        <v>46165.0</v>
      </c>
      <c r="H30" s="2" t="s">
        <v>816</v>
      </c>
      <c r="I30" s="2" t="s">
        <v>867</v>
      </c>
      <c r="J30" s="5">
        <v>4000000.0</v>
      </c>
      <c r="K30" s="2" t="s">
        <v>810</v>
      </c>
      <c r="L30" s="2" t="s">
        <v>810</v>
      </c>
      <c r="M30" s="2" t="s">
        <v>19</v>
      </c>
      <c r="N30" s="4">
        <v>186.0</v>
      </c>
      <c r="O30" s="4">
        <v>2.0</v>
      </c>
    </row>
    <row r="31">
      <c r="A31" s="2" t="s">
        <v>868</v>
      </c>
      <c r="B31" s="3" t="s">
        <v>88</v>
      </c>
      <c r="C31" s="3" t="s">
        <v>88</v>
      </c>
      <c r="D31" s="2" t="s">
        <v>17</v>
      </c>
      <c r="E31" s="4">
        <v>2026.0</v>
      </c>
      <c r="F31" s="4">
        <v>5.0</v>
      </c>
      <c r="G31" s="3">
        <v>46165.0</v>
      </c>
      <c r="H31" s="2" t="s">
        <v>205</v>
      </c>
      <c r="I31" s="2" t="s">
        <v>869</v>
      </c>
      <c r="J31" s="5">
        <v>2.5E7</v>
      </c>
      <c r="K31" s="2" t="s">
        <v>810</v>
      </c>
      <c r="L31" s="2" t="s">
        <v>810</v>
      </c>
      <c r="M31" s="2" t="s">
        <v>19</v>
      </c>
      <c r="N31" s="4">
        <v>189.0</v>
      </c>
      <c r="O31" s="4">
        <v>2.0</v>
      </c>
    </row>
    <row r="32">
      <c r="A32" s="2" t="s">
        <v>870</v>
      </c>
      <c r="B32" s="3" t="s">
        <v>97</v>
      </c>
      <c r="C32" s="3" t="s">
        <v>97</v>
      </c>
      <c r="D32" s="2" t="s">
        <v>17</v>
      </c>
      <c r="E32" s="4">
        <v>2026.0</v>
      </c>
      <c r="F32" s="4">
        <v>6.0</v>
      </c>
      <c r="G32" s="3">
        <v>46179.0</v>
      </c>
      <c r="H32" s="2" t="s">
        <v>808</v>
      </c>
      <c r="I32" s="2" t="s">
        <v>871</v>
      </c>
      <c r="J32" s="5">
        <v>2.8E7</v>
      </c>
      <c r="K32" s="2" t="s">
        <v>810</v>
      </c>
      <c r="L32" s="2" t="s">
        <v>810</v>
      </c>
      <c r="M32" s="2" t="s">
        <v>19</v>
      </c>
      <c r="N32" s="4">
        <v>200.0</v>
      </c>
      <c r="O32" s="4">
        <v>1.0</v>
      </c>
    </row>
    <row r="33">
      <c r="A33" s="2" t="s">
        <v>872</v>
      </c>
      <c r="B33" s="3" t="s">
        <v>97</v>
      </c>
      <c r="C33" s="3" t="s">
        <v>97</v>
      </c>
      <c r="D33" s="2" t="s">
        <v>17</v>
      </c>
      <c r="E33" s="4">
        <v>2026.0</v>
      </c>
      <c r="F33" s="4">
        <v>6.0</v>
      </c>
      <c r="G33" s="3">
        <v>46179.0</v>
      </c>
      <c r="H33" s="2" t="s">
        <v>166</v>
      </c>
      <c r="I33" s="2" t="s">
        <v>873</v>
      </c>
      <c r="J33" s="5">
        <v>5000000.0</v>
      </c>
      <c r="K33" s="2" t="s">
        <v>810</v>
      </c>
      <c r="L33" s="2" t="s">
        <v>810</v>
      </c>
      <c r="M33" s="2" t="s">
        <v>19</v>
      </c>
      <c r="N33" s="4">
        <v>203.0</v>
      </c>
      <c r="O33" s="4">
        <v>1.0</v>
      </c>
    </row>
    <row r="34">
      <c r="A34" s="2" t="s">
        <v>874</v>
      </c>
      <c r="B34" s="3" t="s">
        <v>97</v>
      </c>
      <c r="C34" s="3" t="s">
        <v>97</v>
      </c>
      <c r="D34" s="2" t="s">
        <v>17</v>
      </c>
      <c r="E34" s="4">
        <v>2026.0</v>
      </c>
      <c r="F34" s="4">
        <v>6.0</v>
      </c>
      <c r="G34" s="3">
        <v>46179.0</v>
      </c>
      <c r="H34" s="2" t="s">
        <v>205</v>
      </c>
      <c r="I34" s="2" t="s">
        <v>875</v>
      </c>
      <c r="J34" s="5">
        <v>5.7E7</v>
      </c>
      <c r="K34" s="2" t="s">
        <v>810</v>
      </c>
      <c r="L34" s="2" t="s">
        <v>810</v>
      </c>
      <c r="M34" s="2" t="s">
        <v>19</v>
      </c>
      <c r="N34" s="4">
        <v>207.0</v>
      </c>
      <c r="O34" s="4">
        <v>1.0</v>
      </c>
    </row>
    <row r="35">
      <c r="A35" s="2" t="s">
        <v>876</v>
      </c>
      <c r="B35" s="6">
        <v>46191.93581796296</v>
      </c>
      <c r="D35" s="2" t="s">
        <v>17</v>
      </c>
      <c r="E35" s="7">
        <v>2026.0</v>
      </c>
      <c r="F35" s="7">
        <v>6.0</v>
      </c>
      <c r="G35" s="8">
        <v>46191.0</v>
      </c>
      <c r="H35" s="2" t="s">
        <v>808</v>
      </c>
      <c r="I35" s="2" t="s">
        <v>877</v>
      </c>
      <c r="J35" s="7">
        <v>1.481134E7</v>
      </c>
      <c r="N35" s="2" t="s">
        <v>102</v>
      </c>
      <c r="O35" s="7">
        <v>2.0</v>
      </c>
      <c r="P35" s="2" t="s">
        <v>103</v>
      </c>
    </row>
    <row r="36">
      <c r="A36" s="2" t="s">
        <v>878</v>
      </c>
      <c r="B36" s="6">
        <v>46191.93581796296</v>
      </c>
      <c r="D36" s="2" t="s">
        <v>17</v>
      </c>
      <c r="E36" s="7">
        <v>2026.0</v>
      </c>
      <c r="F36" s="7">
        <v>6.0</v>
      </c>
      <c r="G36" s="8">
        <v>46191.0</v>
      </c>
      <c r="H36" s="2" t="s">
        <v>816</v>
      </c>
      <c r="I36" s="2" t="s">
        <v>879</v>
      </c>
      <c r="J36" s="7">
        <v>5000000.0</v>
      </c>
      <c r="N36" s="2" t="s">
        <v>102</v>
      </c>
      <c r="O36" s="7">
        <v>2.0</v>
      </c>
      <c r="P36" s="2" t="s">
        <v>103</v>
      </c>
    </row>
    <row r="37">
      <c r="A37" s="2" t="s">
        <v>880</v>
      </c>
      <c r="B37" s="6">
        <v>46191.93581796296</v>
      </c>
      <c r="D37" s="2" t="s">
        <v>17</v>
      </c>
      <c r="E37" s="7">
        <v>2026.0</v>
      </c>
      <c r="F37" s="7">
        <v>6.0</v>
      </c>
      <c r="G37" s="8">
        <v>46191.0</v>
      </c>
      <c r="H37" s="2" t="s">
        <v>205</v>
      </c>
      <c r="I37" s="2" t="s">
        <v>881</v>
      </c>
      <c r="J37" s="7">
        <v>7.5E7</v>
      </c>
      <c r="N37" s="2" t="s">
        <v>102</v>
      </c>
      <c r="O37" s="7">
        <v>2.0</v>
      </c>
      <c r="P37" s="2" t="s">
        <v>103</v>
      </c>
    </row>
    <row r="38">
      <c r="A38" s="2" t="s">
        <v>882</v>
      </c>
      <c r="B38" s="6">
        <v>46205.87581017361</v>
      </c>
      <c r="D38" s="2" t="s">
        <v>17</v>
      </c>
      <c r="E38" s="7">
        <v>2026.0</v>
      </c>
      <c r="F38" s="7">
        <v>7.0</v>
      </c>
      <c r="G38" s="8">
        <v>46205.0</v>
      </c>
      <c r="H38" s="2" t="s">
        <v>808</v>
      </c>
      <c r="I38" s="2" t="s">
        <v>883</v>
      </c>
      <c r="J38" s="7">
        <v>1.4E7</v>
      </c>
      <c r="N38" s="2" t="s">
        <v>102</v>
      </c>
      <c r="O38" s="7">
        <v>1.0</v>
      </c>
      <c r="P38" s="2" t="s">
        <v>110</v>
      </c>
    </row>
    <row r="39">
      <c r="A39" s="2" t="s">
        <v>884</v>
      </c>
      <c r="B39" s="6">
        <v>46205.87581017361</v>
      </c>
      <c r="D39" s="2" t="s">
        <v>17</v>
      </c>
      <c r="E39" s="7">
        <v>2026.0</v>
      </c>
      <c r="F39" s="7">
        <v>7.0</v>
      </c>
      <c r="G39" s="8">
        <v>46205.0</v>
      </c>
      <c r="H39" s="2" t="s">
        <v>166</v>
      </c>
      <c r="I39" s="2" t="s">
        <v>885</v>
      </c>
      <c r="J39" s="7">
        <v>1.0411E7</v>
      </c>
      <c r="N39" s="2" t="s">
        <v>102</v>
      </c>
      <c r="O39" s="7">
        <v>1.0</v>
      </c>
      <c r="P39" s="2" t="s">
        <v>110</v>
      </c>
    </row>
    <row r="40">
      <c r="A40" s="2" t="s">
        <v>886</v>
      </c>
      <c r="B40" s="6">
        <v>46205.87581017361</v>
      </c>
      <c r="D40" s="2" t="s">
        <v>17</v>
      </c>
      <c r="E40" s="7">
        <v>2026.0</v>
      </c>
      <c r="F40" s="7">
        <v>7.0</v>
      </c>
      <c r="G40" s="8">
        <v>46205.0</v>
      </c>
      <c r="H40" s="2" t="s">
        <v>205</v>
      </c>
      <c r="I40" s="2" t="s">
        <v>887</v>
      </c>
      <c r="J40" s="7">
        <v>6.6E7</v>
      </c>
      <c r="N40" s="2" t="s">
        <v>102</v>
      </c>
      <c r="O40" s="7">
        <v>1.0</v>
      </c>
      <c r="P40" s="2" t="s">
        <v>110</v>
      </c>
    </row>
  </sheetData>
  <autoFilter ref="$A$1:$P$4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A34A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hidden="1" min="1" max="1" width="37.75"/>
    <col customWidth="1" hidden="1" min="2" max="2" width="11.13"/>
    <col customWidth="1" hidden="1" min="3" max="3" width="11.5"/>
    <col customWidth="1" min="4" max="4" width="8.0"/>
    <col customWidth="1" min="5" max="6" width="12.0"/>
    <col customWidth="1" min="7" max="7" width="12.38"/>
    <col customWidth="1" min="8" max="8" width="18.0"/>
    <col customWidth="1" min="9" max="9" width="7.38"/>
    <col customWidth="1" min="10" max="10" width="11.88"/>
    <col customWidth="1" min="11" max="11" width="11.63"/>
    <col customWidth="1" hidden="1" min="12" max="12" width="12.0"/>
    <col customWidth="1" hidden="1" min="13" max="13" width="18.75"/>
    <col customWidth="1" hidden="1" min="14" max="14" width="28.38"/>
    <col customWidth="1" min="15" max="16" width="8.38"/>
    <col customWidth="1" min="17" max="17" width="1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888</v>
      </c>
      <c r="I1" s="1" t="s">
        <v>889</v>
      </c>
      <c r="J1" s="1" t="s">
        <v>890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9</v>
      </c>
      <c r="P1" s="1" t="s">
        <v>891</v>
      </c>
      <c r="Q1" s="1" t="s">
        <v>892</v>
      </c>
    </row>
    <row r="2">
      <c r="A2" s="2" t="s">
        <v>893</v>
      </c>
      <c r="B2" s="3">
        <v>46182.338581516204</v>
      </c>
      <c r="C2" s="3">
        <v>46182.338581516204</v>
      </c>
      <c r="D2" s="2" t="s">
        <v>17</v>
      </c>
      <c r="E2" s="4">
        <v>2026.0</v>
      </c>
      <c r="F2" s="4">
        <v>1.0</v>
      </c>
      <c r="G2" s="3">
        <v>46031.0</v>
      </c>
      <c r="H2" s="2" t="s">
        <v>894</v>
      </c>
      <c r="I2" s="15">
        <v>1.25</v>
      </c>
      <c r="J2" s="2" t="s">
        <v>895</v>
      </c>
      <c r="K2" s="2" t="s">
        <v>896</v>
      </c>
      <c r="M2" s="4" t="s">
        <v>897</v>
      </c>
      <c r="N2" s="2" t="s">
        <v>898</v>
      </c>
      <c r="O2" s="5">
        <v>130.0</v>
      </c>
      <c r="P2" s="2" t="s">
        <v>899</v>
      </c>
      <c r="Q2" s="2" t="s">
        <v>900</v>
      </c>
    </row>
    <row r="3">
      <c r="A3" s="2" t="s">
        <v>901</v>
      </c>
      <c r="B3" s="3">
        <v>46184.488413750005</v>
      </c>
      <c r="C3" s="3">
        <v>46184.488413750005</v>
      </c>
      <c r="D3" s="2" t="s">
        <v>17</v>
      </c>
      <c r="E3" s="4">
        <v>2026.0</v>
      </c>
      <c r="F3" s="4">
        <v>1.0</v>
      </c>
      <c r="G3" s="3">
        <v>46042.0</v>
      </c>
      <c r="H3" s="2" t="s">
        <v>902</v>
      </c>
      <c r="I3" s="15">
        <v>1.25</v>
      </c>
      <c r="J3" s="2" t="s">
        <v>895</v>
      </c>
      <c r="K3" s="2" t="s">
        <v>896</v>
      </c>
      <c r="M3" s="4" t="s">
        <v>897</v>
      </c>
      <c r="N3" s="2" t="s">
        <v>903</v>
      </c>
      <c r="O3" s="5">
        <v>130.0</v>
      </c>
      <c r="P3" s="2" t="s">
        <v>899</v>
      </c>
      <c r="Q3" s="2" t="s">
        <v>900</v>
      </c>
    </row>
    <row r="4">
      <c r="A4" s="2" t="s">
        <v>904</v>
      </c>
      <c r="B4" s="3">
        <v>46185.433355914356</v>
      </c>
      <c r="C4" s="3">
        <v>46185.433355914356</v>
      </c>
      <c r="D4" s="2" t="s">
        <v>17</v>
      </c>
      <c r="E4" s="4">
        <v>2026.0</v>
      </c>
      <c r="F4" s="4">
        <v>2.0</v>
      </c>
      <c r="G4" s="3">
        <v>46059.0</v>
      </c>
      <c r="H4" s="2" t="s">
        <v>485</v>
      </c>
      <c r="I4" s="15">
        <v>0.75</v>
      </c>
      <c r="J4" s="2" t="s">
        <v>895</v>
      </c>
      <c r="K4" s="2" t="s">
        <v>896</v>
      </c>
      <c r="M4" s="4" t="s">
        <v>897</v>
      </c>
      <c r="N4" s="2" t="s">
        <v>905</v>
      </c>
      <c r="O4" s="5">
        <v>91.0</v>
      </c>
      <c r="P4" s="2" t="s">
        <v>899</v>
      </c>
      <c r="Q4" s="2" t="s">
        <v>900</v>
      </c>
    </row>
    <row r="5">
      <c r="A5" s="2" t="s">
        <v>906</v>
      </c>
      <c r="B5" s="3">
        <v>46185.75870005787</v>
      </c>
      <c r="C5" s="3">
        <v>46185.75870005787</v>
      </c>
      <c r="D5" s="2" t="s">
        <v>17</v>
      </c>
      <c r="E5" s="4">
        <v>2026.0</v>
      </c>
      <c r="F5" s="4">
        <v>3.0</v>
      </c>
      <c r="G5" s="3">
        <v>46084.0</v>
      </c>
      <c r="H5" s="2" t="s">
        <v>907</v>
      </c>
      <c r="I5" s="15">
        <v>0.07</v>
      </c>
      <c r="J5" s="2" t="s">
        <v>895</v>
      </c>
      <c r="K5" s="2" t="s">
        <v>896</v>
      </c>
      <c r="M5" s="4" t="s">
        <v>897</v>
      </c>
      <c r="N5" s="2" t="s">
        <v>908</v>
      </c>
      <c r="O5" s="5">
        <v>16.0</v>
      </c>
      <c r="P5" s="2" t="s">
        <v>899</v>
      </c>
      <c r="Q5" s="2" t="s">
        <v>900</v>
      </c>
    </row>
    <row r="6">
      <c r="A6" s="2" t="s">
        <v>909</v>
      </c>
      <c r="B6" s="3">
        <v>46185.86705537037</v>
      </c>
      <c r="C6" s="3">
        <v>46185.86705537037</v>
      </c>
      <c r="D6" s="2" t="s">
        <v>17</v>
      </c>
      <c r="E6" s="4">
        <v>2026.0</v>
      </c>
      <c r="F6" s="4">
        <v>4.0</v>
      </c>
      <c r="G6" s="3">
        <v>46115.0</v>
      </c>
      <c r="H6" s="2" t="s">
        <v>910</v>
      </c>
      <c r="I6" s="15">
        <v>2.0</v>
      </c>
      <c r="J6" s="2" t="s">
        <v>895</v>
      </c>
      <c r="K6" s="2" t="s">
        <v>896</v>
      </c>
      <c r="M6" s="4" t="s">
        <v>897</v>
      </c>
      <c r="N6" s="2" t="s">
        <v>911</v>
      </c>
      <c r="O6" s="5">
        <v>12000.0</v>
      </c>
      <c r="P6" s="2" t="s">
        <v>912</v>
      </c>
      <c r="Q6" s="2" t="s">
        <v>900</v>
      </c>
    </row>
    <row r="7">
      <c r="A7" s="2" t="s">
        <v>913</v>
      </c>
      <c r="B7" s="3">
        <v>46185.86835877315</v>
      </c>
      <c r="C7" s="3">
        <v>46185.86835877315</v>
      </c>
      <c r="D7" s="2" t="s">
        <v>17</v>
      </c>
      <c r="E7" s="4">
        <v>2026.0</v>
      </c>
      <c r="F7" s="4">
        <v>5.0</v>
      </c>
      <c r="G7" s="3">
        <v>46154.0</v>
      </c>
      <c r="H7" s="2" t="s">
        <v>914</v>
      </c>
      <c r="I7" s="15">
        <v>1.0</v>
      </c>
      <c r="J7" s="2" t="s">
        <v>895</v>
      </c>
      <c r="K7" s="2" t="s">
        <v>896</v>
      </c>
      <c r="M7" s="4" t="s">
        <v>897</v>
      </c>
      <c r="N7" s="2" t="s">
        <v>915</v>
      </c>
      <c r="O7" s="5">
        <v>6.0</v>
      </c>
      <c r="P7" s="2" t="s">
        <v>899</v>
      </c>
      <c r="Q7" s="2" t="s">
        <v>900</v>
      </c>
    </row>
    <row r="8">
      <c r="A8" s="2" t="s">
        <v>916</v>
      </c>
      <c r="B8" s="3">
        <v>46185.86997733796</v>
      </c>
      <c r="C8" s="3">
        <v>46185.86997733796</v>
      </c>
      <c r="D8" s="2" t="s">
        <v>17</v>
      </c>
      <c r="E8" s="4">
        <v>2026.0</v>
      </c>
      <c r="F8" s="4">
        <v>5.0</v>
      </c>
      <c r="G8" s="3">
        <v>46154.0</v>
      </c>
      <c r="H8" s="2" t="s">
        <v>917</v>
      </c>
      <c r="I8" s="15">
        <v>1.0</v>
      </c>
      <c r="J8" s="2" t="s">
        <v>895</v>
      </c>
      <c r="K8" s="2" t="s">
        <v>896</v>
      </c>
      <c r="M8" s="4" t="s">
        <v>897</v>
      </c>
      <c r="N8" s="2" t="s">
        <v>918</v>
      </c>
      <c r="O8" s="5">
        <v>112.0</v>
      </c>
      <c r="P8" s="2" t="s">
        <v>899</v>
      </c>
      <c r="Q8" s="2" t="s">
        <v>900</v>
      </c>
    </row>
    <row r="9">
      <c r="A9" s="2" t="s">
        <v>919</v>
      </c>
      <c r="B9" s="6">
        <v>46205.8896842824</v>
      </c>
      <c r="C9" s="6">
        <v>46205.8896842824</v>
      </c>
      <c r="D9" s="2" t="s">
        <v>17</v>
      </c>
      <c r="E9" s="7">
        <v>2026.0</v>
      </c>
      <c r="F9" s="7">
        <v>7.0</v>
      </c>
      <c r="G9" s="16">
        <v>46207.0</v>
      </c>
      <c r="H9" s="2" t="s">
        <v>920</v>
      </c>
      <c r="I9" s="7">
        <v>2.0</v>
      </c>
      <c r="J9" s="2" t="s">
        <v>895</v>
      </c>
      <c r="K9" s="2" t="s">
        <v>896</v>
      </c>
      <c r="M9" s="2" t="s">
        <v>897</v>
      </c>
      <c r="N9" s="2" t="s">
        <v>921</v>
      </c>
      <c r="O9" s="7">
        <v>12710.0</v>
      </c>
      <c r="P9" s="2" t="s">
        <v>912</v>
      </c>
      <c r="Q9" s="2" t="s">
        <v>900</v>
      </c>
    </row>
  </sheetData>
  <autoFilter ref="$A$1:$Q$9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9E0B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2.38"/>
    <col customWidth="1" min="2" max="2" width="12.25"/>
    <col customWidth="1" min="3" max="4" width="11.13"/>
    <col customWidth="1" min="5" max="5" width="8.0"/>
    <col customWidth="1" min="6" max="6" width="9.88"/>
    <col customWidth="1" min="7" max="7" width="17.25"/>
  </cols>
  <sheetData>
    <row r="1">
      <c r="A1" s="17" t="s">
        <v>5</v>
      </c>
      <c r="B1" s="17" t="s">
        <v>6</v>
      </c>
      <c r="C1" s="17" t="s">
        <v>13</v>
      </c>
      <c r="D1" s="17" t="s">
        <v>7</v>
      </c>
      <c r="E1" s="17" t="s">
        <v>8</v>
      </c>
      <c r="F1" s="17" t="s">
        <v>9</v>
      </c>
      <c r="G1" s="17" t="s">
        <v>10</v>
      </c>
      <c r="H1" s="18"/>
    </row>
    <row r="2">
      <c r="A2" s="19">
        <v>1.0</v>
      </c>
      <c r="B2" s="20"/>
      <c r="C2" s="19">
        <v>1.0</v>
      </c>
      <c r="D2" s="21">
        <v>5567.0</v>
      </c>
      <c r="E2" s="21">
        <v>2180.0</v>
      </c>
      <c r="F2" s="21">
        <v>1.213606E7</v>
      </c>
      <c r="G2" s="22" t="s">
        <v>18</v>
      </c>
      <c r="H2" s="23"/>
    </row>
    <row r="3">
      <c r="A3" s="19">
        <v>1.0</v>
      </c>
      <c r="B3" s="20"/>
      <c r="C3" s="19">
        <v>1.0</v>
      </c>
      <c r="D3" s="21">
        <v>4652.0</v>
      </c>
      <c r="E3" s="21">
        <v>2160.0</v>
      </c>
      <c r="F3" s="21">
        <v>1.004832E7</v>
      </c>
      <c r="G3" s="22" t="s">
        <v>18</v>
      </c>
      <c r="H3" s="23"/>
    </row>
    <row r="4">
      <c r="A4" s="19">
        <v>1.0</v>
      </c>
      <c r="B4" s="20"/>
      <c r="C4" s="19">
        <v>2.0</v>
      </c>
      <c r="D4" s="21">
        <v>4588.0</v>
      </c>
      <c r="E4" s="21">
        <v>2270.0</v>
      </c>
      <c r="F4" s="21">
        <v>1.041476E7</v>
      </c>
      <c r="G4" s="22" t="s">
        <v>26</v>
      </c>
      <c r="H4" s="23"/>
    </row>
    <row r="5">
      <c r="A5" s="19">
        <v>1.0</v>
      </c>
      <c r="B5" s="20"/>
      <c r="C5" s="19">
        <v>2.0</v>
      </c>
      <c r="D5" s="21">
        <v>3418.0</v>
      </c>
      <c r="E5" s="21">
        <v>2270.0</v>
      </c>
      <c r="F5" s="21">
        <v>7758860.0</v>
      </c>
      <c r="G5" s="22" t="s">
        <v>26</v>
      </c>
      <c r="H5" s="23"/>
    </row>
    <row r="6">
      <c r="A6" s="19">
        <v>2.0</v>
      </c>
      <c r="B6" s="20"/>
      <c r="C6" s="19">
        <v>1.0</v>
      </c>
      <c r="D6" s="21">
        <v>3172.0</v>
      </c>
      <c r="E6" s="21">
        <v>2420.0</v>
      </c>
      <c r="F6" s="21">
        <v>7676240.0</v>
      </c>
      <c r="G6" s="22" t="s">
        <v>40</v>
      </c>
      <c r="H6" s="23"/>
    </row>
    <row r="7">
      <c r="A7" s="19">
        <v>2.0</v>
      </c>
      <c r="B7" s="20"/>
      <c r="C7" s="19">
        <v>1.0</v>
      </c>
      <c r="D7" s="21">
        <v>4413.0</v>
      </c>
      <c r="E7" s="21">
        <v>2420.0</v>
      </c>
      <c r="F7" s="21">
        <v>1.067946E7</v>
      </c>
      <c r="G7" s="22" t="s">
        <v>40</v>
      </c>
      <c r="H7" s="23"/>
    </row>
    <row r="8">
      <c r="A8" s="19">
        <v>2.0</v>
      </c>
      <c r="B8" s="20"/>
      <c r="C8" s="19">
        <v>2.0</v>
      </c>
      <c r="D8" s="21">
        <v>4478.0</v>
      </c>
      <c r="E8" s="21">
        <v>2360.0</v>
      </c>
      <c r="F8" s="21">
        <v>1.056808E7</v>
      </c>
      <c r="G8" s="22" t="s">
        <v>47</v>
      </c>
      <c r="H8" s="23"/>
    </row>
    <row r="9">
      <c r="A9" s="19">
        <v>2.0</v>
      </c>
      <c r="B9" s="20"/>
      <c r="C9" s="19">
        <v>2.0</v>
      </c>
      <c r="D9" s="21">
        <v>3343.0</v>
      </c>
      <c r="E9" s="21">
        <v>2360.0</v>
      </c>
      <c r="F9" s="21">
        <v>7889480.0</v>
      </c>
      <c r="G9" s="22" t="s">
        <v>47</v>
      </c>
      <c r="H9" s="23"/>
    </row>
    <row r="10">
      <c r="A10" s="19">
        <v>3.0</v>
      </c>
      <c r="B10" s="20"/>
      <c r="C10" s="19">
        <v>1.0</v>
      </c>
      <c r="D10" s="21">
        <v>4219.0</v>
      </c>
      <c r="E10" s="21">
        <v>2380.0</v>
      </c>
      <c r="F10" s="21">
        <v>1.004122E7</v>
      </c>
      <c r="G10" s="22" t="s">
        <v>55</v>
      </c>
      <c r="H10" s="23"/>
    </row>
    <row r="11">
      <c r="A11" s="19">
        <v>3.0</v>
      </c>
      <c r="B11" s="20"/>
      <c r="C11" s="19">
        <v>1.0</v>
      </c>
      <c r="D11" s="21">
        <v>4894.0</v>
      </c>
      <c r="E11" s="21">
        <v>2380.0</v>
      </c>
      <c r="F11" s="21">
        <v>1.164772E7</v>
      </c>
      <c r="G11" s="22" t="s">
        <v>55</v>
      </c>
      <c r="H11" s="23"/>
    </row>
    <row r="12">
      <c r="A12" s="19">
        <v>3.0</v>
      </c>
      <c r="B12" s="20"/>
      <c r="C12" s="19">
        <v>2.0</v>
      </c>
      <c r="D12" s="21">
        <v>4650.0</v>
      </c>
      <c r="E12" s="21">
        <v>2480.0</v>
      </c>
      <c r="F12" s="21">
        <v>1.1532E7</v>
      </c>
      <c r="G12" s="22" t="s">
        <v>64</v>
      </c>
      <c r="H12" s="23"/>
    </row>
    <row r="13">
      <c r="A13" s="19">
        <v>3.0</v>
      </c>
      <c r="B13" s="20"/>
      <c r="C13" s="19">
        <v>2.0</v>
      </c>
      <c r="D13" s="21">
        <v>5510.0</v>
      </c>
      <c r="E13" s="21">
        <v>2480.0</v>
      </c>
      <c r="F13" s="21">
        <v>1.36648E7</v>
      </c>
      <c r="G13" s="22" t="s">
        <v>64</v>
      </c>
      <c r="H13" s="23"/>
    </row>
    <row r="14">
      <c r="A14" s="19">
        <v>4.0</v>
      </c>
      <c r="B14" s="20"/>
      <c r="C14" s="19">
        <v>1.0</v>
      </c>
      <c r="D14" s="21">
        <v>4190.0</v>
      </c>
      <c r="E14" s="21">
        <v>2620.0</v>
      </c>
      <c r="F14" s="21">
        <v>1.09778E7</v>
      </c>
      <c r="G14" s="22" t="s">
        <v>70</v>
      </c>
      <c r="H14" s="23"/>
    </row>
    <row r="15">
      <c r="A15" s="19">
        <v>4.0</v>
      </c>
      <c r="B15" s="20"/>
      <c r="C15" s="19">
        <v>1.0</v>
      </c>
      <c r="D15" s="21">
        <v>7527.0</v>
      </c>
      <c r="E15" s="21">
        <v>2640.0</v>
      </c>
      <c r="F15" s="21">
        <v>1.987128E7</v>
      </c>
      <c r="G15" s="22" t="s">
        <v>70</v>
      </c>
      <c r="H15" s="23"/>
    </row>
    <row r="16">
      <c r="A16" s="19">
        <v>4.0</v>
      </c>
      <c r="B16" s="20"/>
      <c r="C16" s="19">
        <v>2.0</v>
      </c>
      <c r="D16" s="21">
        <v>4622.0</v>
      </c>
      <c r="E16" s="21">
        <v>2660.0</v>
      </c>
      <c r="F16" s="21">
        <v>1.229452E7</v>
      </c>
      <c r="G16" s="22" t="s">
        <v>77</v>
      </c>
      <c r="H16" s="23"/>
    </row>
    <row r="17">
      <c r="A17" s="19">
        <v>4.0</v>
      </c>
      <c r="B17" s="20"/>
      <c r="C17" s="19">
        <v>2.0</v>
      </c>
      <c r="D17" s="21">
        <v>4568.0</v>
      </c>
      <c r="E17" s="21">
        <v>2630.0</v>
      </c>
      <c r="F17" s="21">
        <v>1.201384E7</v>
      </c>
      <c r="G17" s="22" t="s">
        <v>77</v>
      </c>
      <c r="H17" s="23"/>
    </row>
    <row r="18">
      <c r="A18" s="19">
        <v>5.0</v>
      </c>
      <c r="B18" s="20"/>
      <c r="C18" s="19">
        <v>1.0</v>
      </c>
      <c r="D18" s="21">
        <v>7585.0</v>
      </c>
      <c r="E18" s="21">
        <v>2470.0</v>
      </c>
      <c r="F18" s="21">
        <v>1.873495E7</v>
      </c>
      <c r="G18" s="22" t="s">
        <v>83</v>
      </c>
      <c r="H18" s="23"/>
    </row>
    <row r="19">
      <c r="A19" s="19">
        <v>5.0</v>
      </c>
      <c r="B19" s="20"/>
      <c r="C19" s="19">
        <v>1.0</v>
      </c>
      <c r="D19" s="21">
        <v>4142.0</v>
      </c>
      <c r="E19" s="21">
        <v>2450.0</v>
      </c>
      <c r="F19" s="21">
        <v>1.01479E7</v>
      </c>
      <c r="G19" s="22" t="s">
        <v>83</v>
      </c>
      <c r="H19" s="23"/>
    </row>
    <row r="20">
      <c r="A20" s="19">
        <v>5.0</v>
      </c>
      <c r="B20" s="20"/>
      <c r="C20" s="19">
        <v>1.0</v>
      </c>
      <c r="D20" s="21">
        <v>5393.0</v>
      </c>
      <c r="E20" s="21">
        <v>2450.0</v>
      </c>
      <c r="F20" s="21">
        <v>1.321285E7</v>
      </c>
      <c r="G20" s="22" t="s">
        <v>83</v>
      </c>
      <c r="H20" s="23"/>
    </row>
    <row r="21">
      <c r="A21" s="19">
        <v>5.0</v>
      </c>
      <c r="B21" s="20"/>
      <c r="C21" s="19">
        <v>2.0</v>
      </c>
      <c r="D21" s="21">
        <v>4803.0</v>
      </c>
      <c r="E21" s="21">
        <v>2480.0</v>
      </c>
      <c r="F21" s="21">
        <v>1.191144E7</v>
      </c>
      <c r="G21" s="22" t="s">
        <v>89</v>
      </c>
      <c r="H21" s="23"/>
    </row>
    <row r="22">
      <c r="A22" s="19">
        <v>5.0</v>
      </c>
      <c r="B22" s="20"/>
      <c r="C22" s="19">
        <v>2.0</v>
      </c>
      <c r="D22" s="21">
        <v>4170.0</v>
      </c>
      <c r="E22" s="21">
        <v>2480.0</v>
      </c>
      <c r="F22" s="21">
        <v>1.03416E7</v>
      </c>
      <c r="G22" s="22" t="s">
        <v>89</v>
      </c>
      <c r="H22" s="23"/>
    </row>
    <row r="23">
      <c r="A23" s="19">
        <v>5.0</v>
      </c>
      <c r="B23" s="20"/>
      <c r="C23" s="19">
        <v>2.0</v>
      </c>
      <c r="D23" s="21">
        <v>6339.0</v>
      </c>
      <c r="E23" s="21">
        <v>2480.0</v>
      </c>
      <c r="F23" s="21">
        <v>1.572072E7</v>
      </c>
      <c r="G23" s="22" t="s">
        <v>89</v>
      </c>
      <c r="H23" s="23"/>
    </row>
    <row r="24">
      <c r="A24" s="19">
        <v>6.0</v>
      </c>
      <c r="B24" s="20"/>
      <c r="C24" s="19">
        <v>1.0</v>
      </c>
      <c r="D24" s="21">
        <v>4646.0</v>
      </c>
      <c r="E24" s="21">
        <v>2520.0</v>
      </c>
      <c r="F24" s="21">
        <v>1.170792E7</v>
      </c>
      <c r="G24" s="22" t="s">
        <v>95</v>
      </c>
      <c r="H24" s="23"/>
    </row>
    <row r="25">
      <c r="A25" s="19">
        <v>6.0</v>
      </c>
      <c r="B25" s="20"/>
      <c r="C25" s="19">
        <v>1.0</v>
      </c>
      <c r="D25" s="21">
        <v>5088.0</v>
      </c>
      <c r="E25" s="21">
        <v>2520.0</v>
      </c>
      <c r="F25" s="21">
        <v>1.282176E7</v>
      </c>
      <c r="G25" s="22" t="s">
        <v>95</v>
      </c>
      <c r="H25" s="23"/>
    </row>
    <row r="26">
      <c r="A26" s="19">
        <v>6.0</v>
      </c>
      <c r="B26" s="20"/>
      <c r="C26" s="19">
        <v>1.0</v>
      </c>
      <c r="D26" s="21">
        <v>4986.0</v>
      </c>
      <c r="E26" s="21">
        <v>2590.0</v>
      </c>
      <c r="F26" s="21">
        <v>1.291374E7</v>
      </c>
      <c r="G26" s="22" t="s">
        <v>95</v>
      </c>
      <c r="H26" s="23"/>
    </row>
    <row r="27">
      <c r="A27" s="19">
        <v>6.0</v>
      </c>
      <c r="B27" s="20"/>
      <c r="C27" s="19">
        <v>2.0</v>
      </c>
      <c r="D27" s="21">
        <v>5412.0</v>
      </c>
      <c r="E27" s="21">
        <v>2430.0</v>
      </c>
      <c r="F27" s="21">
        <v>1.315116E7</v>
      </c>
      <c r="G27" s="22" t="s">
        <v>101</v>
      </c>
      <c r="H27" s="23"/>
    </row>
    <row r="28">
      <c r="A28" s="19">
        <v>6.0</v>
      </c>
      <c r="B28" s="20"/>
      <c r="C28" s="19">
        <v>2.0</v>
      </c>
      <c r="D28" s="21">
        <v>4724.0</v>
      </c>
      <c r="E28" s="21">
        <v>2430.0</v>
      </c>
      <c r="F28" s="21">
        <v>1.147932E7</v>
      </c>
      <c r="G28" s="22" t="s">
        <v>101</v>
      </c>
      <c r="H28" s="23"/>
    </row>
    <row r="29">
      <c r="A29" s="19">
        <v>6.0</v>
      </c>
      <c r="B29" s="20"/>
      <c r="C29" s="19">
        <v>2.0</v>
      </c>
      <c r="D29" s="21">
        <v>4570.0</v>
      </c>
      <c r="E29" s="21">
        <v>2450.0</v>
      </c>
      <c r="F29" s="21">
        <v>1.11965E7</v>
      </c>
      <c r="G29" s="22" t="s">
        <v>101</v>
      </c>
      <c r="H29" s="23"/>
    </row>
    <row r="30">
      <c r="A30" s="19">
        <v>7.0</v>
      </c>
      <c r="B30" s="20"/>
      <c r="C30" s="19">
        <v>1.0</v>
      </c>
      <c r="D30" s="21">
        <v>3145.0</v>
      </c>
      <c r="E30" s="21">
        <v>2580.0</v>
      </c>
      <c r="F30" s="21">
        <v>8114100.0</v>
      </c>
      <c r="G30" s="22" t="s">
        <v>109</v>
      </c>
      <c r="H30" s="23"/>
    </row>
    <row r="31">
      <c r="A31" s="19">
        <v>7.0</v>
      </c>
      <c r="B31" s="20"/>
      <c r="C31" s="19">
        <v>1.0</v>
      </c>
      <c r="D31" s="21">
        <v>5015.0</v>
      </c>
      <c r="E31" s="21">
        <v>2580.0</v>
      </c>
      <c r="F31" s="21">
        <v>1.29387E7</v>
      </c>
      <c r="G31" s="22" t="s">
        <v>109</v>
      </c>
      <c r="H31" s="23"/>
    </row>
    <row r="32">
      <c r="A32" s="19">
        <v>7.0</v>
      </c>
      <c r="B32" s="20"/>
      <c r="C32" s="19">
        <v>1.0</v>
      </c>
      <c r="D32" s="21">
        <v>4530.0</v>
      </c>
      <c r="E32" s="21">
        <v>2580.0</v>
      </c>
      <c r="F32" s="21">
        <v>1.16874E7</v>
      </c>
      <c r="G32" s="22" t="s">
        <v>109</v>
      </c>
      <c r="H32" s="23"/>
    </row>
    <row r="33">
      <c r="A33" s="19">
        <v>7.0</v>
      </c>
      <c r="B33" s="20"/>
      <c r="C33" s="19">
        <v>2.0</v>
      </c>
      <c r="D33" s="21">
        <v>5083.0</v>
      </c>
      <c r="E33" s="21">
        <v>2630.0</v>
      </c>
      <c r="F33" s="21">
        <v>1.336829E7</v>
      </c>
      <c r="G33" s="22" t="s">
        <v>922</v>
      </c>
      <c r="H33" s="23"/>
    </row>
    <row r="34">
      <c r="A34" s="19">
        <v>7.0</v>
      </c>
      <c r="B34" s="20"/>
      <c r="C34" s="19">
        <v>2.0</v>
      </c>
      <c r="D34" s="21">
        <v>6906.0</v>
      </c>
      <c r="E34" s="21">
        <v>2720.0</v>
      </c>
      <c r="F34" s="21">
        <v>1.878432E7</v>
      </c>
      <c r="G34" s="22" t="s">
        <v>922</v>
      </c>
      <c r="H34" s="23"/>
    </row>
    <row r="35">
      <c r="A35" s="19">
        <v>7.0</v>
      </c>
      <c r="B35" s="20"/>
      <c r="C35" s="19">
        <v>2.0</v>
      </c>
      <c r="D35" s="21">
        <v>2095.0</v>
      </c>
      <c r="E35" s="21">
        <v>2600.0</v>
      </c>
      <c r="F35" s="21">
        <v>5447000.0</v>
      </c>
      <c r="G35" s="22" t="s">
        <v>922</v>
      </c>
      <c r="H35" s="23"/>
    </row>
    <row r="36">
      <c r="A36" s="19">
        <v>8.0</v>
      </c>
      <c r="B36" s="20"/>
      <c r="C36" s="19">
        <v>1.0</v>
      </c>
      <c r="D36" s="21">
        <v>6186.0</v>
      </c>
      <c r="E36" s="21">
        <v>2690.0</v>
      </c>
      <c r="F36" s="21">
        <v>1.664034E7</v>
      </c>
      <c r="G36" s="22" t="s">
        <v>923</v>
      </c>
      <c r="H36" s="23"/>
    </row>
    <row r="37">
      <c r="A37" s="19">
        <v>8.0</v>
      </c>
      <c r="B37" s="20"/>
      <c r="C37" s="19">
        <v>1.0</v>
      </c>
      <c r="D37" s="21">
        <v>4578.0</v>
      </c>
      <c r="E37" s="21">
        <v>2690.0</v>
      </c>
      <c r="F37" s="21">
        <v>1.231482E7</v>
      </c>
      <c r="G37" s="22" t="s">
        <v>923</v>
      </c>
      <c r="H37" s="23"/>
    </row>
    <row r="38">
      <c r="A38" s="19">
        <v>8.0</v>
      </c>
      <c r="B38" s="20"/>
      <c r="C38" s="19">
        <v>1.0</v>
      </c>
      <c r="D38" s="21">
        <v>4656.0</v>
      </c>
      <c r="E38" s="21">
        <v>2570.0</v>
      </c>
      <c r="F38" s="21">
        <v>1.196592E7</v>
      </c>
      <c r="G38" s="22" t="s">
        <v>923</v>
      </c>
      <c r="H38" s="23"/>
    </row>
    <row r="39">
      <c r="A39" s="19">
        <v>8.0</v>
      </c>
      <c r="B39" s="20"/>
      <c r="C39" s="19">
        <v>2.0</v>
      </c>
      <c r="D39" s="21">
        <v>3820.0</v>
      </c>
      <c r="E39" s="21">
        <v>2570.0</v>
      </c>
      <c r="F39" s="21">
        <v>9817400.0</v>
      </c>
      <c r="G39" s="22" t="s">
        <v>924</v>
      </c>
      <c r="H39" s="23"/>
    </row>
    <row r="40">
      <c r="A40" s="19">
        <v>8.0</v>
      </c>
      <c r="B40" s="20"/>
      <c r="C40" s="19">
        <v>2.0</v>
      </c>
      <c r="D40" s="21">
        <v>1485.0</v>
      </c>
      <c r="E40" s="21">
        <v>2490.0</v>
      </c>
      <c r="F40" s="21">
        <v>3697650.0</v>
      </c>
      <c r="G40" s="22" t="s">
        <v>924</v>
      </c>
      <c r="H40" s="23"/>
    </row>
    <row r="41">
      <c r="A41" s="19">
        <v>8.0</v>
      </c>
      <c r="B41" s="20"/>
      <c r="C41" s="19">
        <v>2.0</v>
      </c>
      <c r="D41" s="21">
        <v>2058.0</v>
      </c>
      <c r="E41" s="21">
        <v>2590.0</v>
      </c>
      <c r="F41" s="21">
        <v>5330220.0</v>
      </c>
      <c r="G41" s="22" t="s">
        <v>924</v>
      </c>
      <c r="H41" s="23"/>
    </row>
    <row r="42">
      <c r="A42" s="19">
        <v>9.0</v>
      </c>
      <c r="B42" s="20"/>
      <c r="C42" s="19">
        <v>1.0</v>
      </c>
      <c r="D42" s="21">
        <v>5878.0</v>
      </c>
      <c r="E42" s="21">
        <v>2610.0</v>
      </c>
      <c r="F42" s="21">
        <v>1.534158E7</v>
      </c>
      <c r="G42" s="22" t="s">
        <v>925</v>
      </c>
      <c r="H42" s="23"/>
    </row>
    <row r="43">
      <c r="A43" s="19">
        <v>9.0</v>
      </c>
      <c r="B43" s="20"/>
      <c r="C43" s="19">
        <v>1.0</v>
      </c>
      <c r="D43" s="21">
        <v>4006.0</v>
      </c>
      <c r="E43" s="21">
        <v>2640.0</v>
      </c>
      <c r="F43" s="21">
        <v>1.057584E7</v>
      </c>
      <c r="G43" s="22" t="s">
        <v>925</v>
      </c>
      <c r="H43" s="23"/>
    </row>
    <row r="44">
      <c r="A44" s="19">
        <v>9.0</v>
      </c>
      <c r="B44" s="20"/>
      <c r="C44" s="19">
        <v>1.0</v>
      </c>
      <c r="D44" s="21">
        <v>1315.0</v>
      </c>
      <c r="E44" s="21">
        <v>2460.0</v>
      </c>
      <c r="F44" s="21">
        <v>3234900.0</v>
      </c>
      <c r="G44" s="22" t="s">
        <v>925</v>
      </c>
      <c r="H44" s="23"/>
    </row>
    <row r="45">
      <c r="A45" s="19">
        <v>9.0</v>
      </c>
      <c r="B45" s="20"/>
      <c r="C45" s="19">
        <v>1.0</v>
      </c>
      <c r="D45" s="21">
        <v>1175.0</v>
      </c>
      <c r="E45" s="21">
        <v>2460.0</v>
      </c>
      <c r="F45" s="21">
        <v>2890500.0</v>
      </c>
      <c r="G45" s="22" t="s">
        <v>925</v>
      </c>
      <c r="H45" s="23"/>
    </row>
    <row r="46">
      <c r="A46" s="19">
        <v>9.0</v>
      </c>
      <c r="B46" s="20"/>
      <c r="C46" s="19">
        <v>2.0</v>
      </c>
      <c r="D46" s="21">
        <v>5567.0</v>
      </c>
      <c r="E46" s="21">
        <v>2660.0</v>
      </c>
      <c r="F46" s="21">
        <v>1.480822E7</v>
      </c>
      <c r="G46" s="22" t="s">
        <v>926</v>
      </c>
      <c r="H46" s="23"/>
    </row>
    <row r="47">
      <c r="A47" s="19">
        <v>9.0</v>
      </c>
      <c r="B47" s="20"/>
      <c r="C47" s="19">
        <v>2.0</v>
      </c>
      <c r="D47" s="21">
        <v>5326.0</v>
      </c>
      <c r="E47" s="21">
        <v>2680.0</v>
      </c>
      <c r="F47" s="21">
        <v>1.427368E7</v>
      </c>
      <c r="G47" s="22" t="s">
        <v>926</v>
      </c>
      <c r="H47" s="23"/>
    </row>
    <row r="48">
      <c r="A48" s="19">
        <v>9.0</v>
      </c>
      <c r="B48" s="20"/>
      <c r="C48" s="19">
        <v>2.0</v>
      </c>
      <c r="D48" s="21">
        <v>1212.0</v>
      </c>
      <c r="E48" s="21">
        <v>2590.0</v>
      </c>
      <c r="F48" s="21">
        <v>3139080.0</v>
      </c>
      <c r="G48" s="22" t="s">
        <v>926</v>
      </c>
      <c r="H48" s="23"/>
    </row>
    <row r="49">
      <c r="A49" s="19">
        <v>9.0</v>
      </c>
      <c r="B49" s="20"/>
      <c r="C49" s="19">
        <v>2.0</v>
      </c>
      <c r="D49" s="21">
        <v>1259.0</v>
      </c>
      <c r="E49" s="21">
        <v>2570.0</v>
      </c>
      <c r="F49" s="21">
        <v>3235630.0</v>
      </c>
      <c r="G49" s="22" t="s">
        <v>926</v>
      </c>
      <c r="H49" s="23"/>
    </row>
    <row r="50">
      <c r="A50" s="19">
        <v>10.0</v>
      </c>
      <c r="B50" s="20"/>
      <c r="C50" s="19">
        <v>1.0</v>
      </c>
      <c r="D50" s="21">
        <v>10192.0</v>
      </c>
      <c r="E50" s="21">
        <v>2660.0</v>
      </c>
      <c r="F50" s="21">
        <v>2.711072E7</v>
      </c>
      <c r="G50" s="22" t="s">
        <v>927</v>
      </c>
      <c r="H50" s="23"/>
    </row>
    <row r="51">
      <c r="A51" s="19">
        <v>10.0</v>
      </c>
      <c r="B51" s="20"/>
      <c r="C51" s="19">
        <v>1.0</v>
      </c>
      <c r="D51" s="21">
        <v>789.0</v>
      </c>
      <c r="E51" s="21">
        <v>2550.0</v>
      </c>
      <c r="F51" s="21">
        <v>2011950.0</v>
      </c>
      <c r="G51" s="22" t="s">
        <v>927</v>
      </c>
      <c r="H51" s="23"/>
    </row>
    <row r="52">
      <c r="A52" s="19">
        <v>10.0</v>
      </c>
      <c r="B52" s="20"/>
      <c r="C52" s="19">
        <v>1.0</v>
      </c>
      <c r="D52" s="21">
        <v>1118.0</v>
      </c>
      <c r="E52" s="21">
        <v>2580.0</v>
      </c>
      <c r="F52" s="21">
        <v>2884440.0</v>
      </c>
      <c r="G52" s="22" t="s">
        <v>927</v>
      </c>
      <c r="H52" s="23"/>
    </row>
    <row r="53">
      <c r="A53" s="19">
        <v>10.0</v>
      </c>
      <c r="B53" s="20"/>
      <c r="C53" s="19">
        <v>1.0</v>
      </c>
      <c r="D53" s="21">
        <v>3841.0</v>
      </c>
      <c r="E53" s="21">
        <v>2670.0</v>
      </c>
      <c r="F53" s="21">
        <v>1.025547E7</v>
      </c>
      <c r="G53" s="22" t="s">
        <v>927</v>
      </c>
      <c r="H53" s="23"/>
    </row>
    <row r="54">
      <c r="A54" s="19">
        <v>10.0</v>
      </c>
      <c r="B54" s="20"/>
      <c r="C54" s="19">
        <v>1.0</v>
      </c>
      <c r="D54" s="21">
        <v>7315.0</v>
      </c>
      <c r="E54" s="21">
        <v>2700.0</v>
      </c>
      <c r="F54" s="21">
        <v>1.97505E7</v>
      </c>
      <c r="G54" s="22" t="s">
        <v>927</v>
      </c>
      <c r="H54" s="23"/>
    </row>
    <row r="55">
      <c r="A55" s="19">
        <v>10.0</v>
      </c>
      <c r="B55" s="20"/>
      <c r="C55" s="19">
        <v>1.0</v>
      </c>
      <c r="D55" s="21">
        <v>1579.0</v>
      </c>
      <c r="E55" s="21">
        <v>2690.0</v>
      </c>
      <c r="F55" s="21">
        <v>4247510.0</v>
      </c>
      <c r="G55" s="22" t="s">
        <v>927</v>
      </c>
      <c r="H55" s="23"/>
    </row>
    <row r="56">
      <c r="A56" s="19">
        <v>10.0</v>
      </c>
      <c r="B56" s="20"/>
      <c r="C56" s="19">
        <v>2.0</v>
      </c>
      <c r="D56" s="21">
        <v>13950.0</v>
      </c>
      <c r="E56" s="21">
        <v>2850.0</v>
      </c>
      <c r="F56" s="21">
        <v>3.97575E7</v>
      </c>
      <c r="G56" s="22" t="s">
        <v>928</v>
      </c>
      <c r="H56" s="23"/>
    </row>
    <row r="57">
      <c r="A57" s="19">
        <v>10.0</v>
      </c>
      <c r="B57" s="20"/>
      <c r="C57" s="19">
        <v>2.0</v>
      </c>
      <c r="D57" s="21">
        <v>8763.0</v>
      </c>
      <c r="E57" s="21">
        <v>2940.0</v>
      </c>
      <c r="F57" s="21">
        <v>2.576322E7</v>
      </c>
      <c r="G57" s="22" t="s">
        <v>928</v>
      </c>
      <c r="H57" s="23"/>
    </row>
    <row r="58">
      <c r="A58" s="19">
        <v>10.0</v>
      </c>
      <c r="B58" s="20"/>
      <c r="C58" s="19">
        <v>2.0</v>
      </c>
      <c r="D58" s="21">
        <v>5083.0</v>
      </c>
      <c r="E58" s="21">
        <v>2900.0</v>
      </c>
      <c r="F58" s="21">
        <v>1.47407E7</v>
      </c>
      <c r="G58" s="22" t="s">
        <v>928</v>
      </c>
      <c r="H58" s="23"/>
    </row>
    <row r="59">
      <c r="A59" s="19">
        <v>10.0</v>
      </c>
      <c r="B59" s="20"/>
      <c r="C59" s="19">
        <v>2.0</v>
      </c>
      <c r="D59" s="21">
        <v>2115.0</v>
      </c>
      <c r="E59" s="21">
        <v>2760.0</v>
      </c>
      <c r="F59" s="21">
        <v>5837400.0</v>
      </c>
      <c r="G59" s="22" t="s">
        <v>928</v>
      </c>
      <c r="H59" s="23"/>
    </row>
    <row r="60">
      <c r="A60" s="19">
        <v>10.0</v>
      </c>
      <c r="B60" s="20"/>
      <c r="C60" s="19">
        <v>2.0</v>
      </c>
      <c r="D60" s="21">
        <v>1062.0</v>
      </c>
      <c r="E60" s="21">
        <v>2880.0</v>
      </c>
      <c r="F60" s="21">
        <v>3058560.0</v>
      </c>
      <c r="G60" s="22" t="s">
        <v>928</v>
      </c>
      <c r="H60" s="23"/>
    </row>
    <row r="61">
      <c r="A61" s="19">
        <v>10.0</v>
      </c>
      <c r="B61" s="20"/>
      <c r="C61" s="19">
        <v>2.0</v>
      </c>
      <c r="D61" s="21">
        <v>1419.0</v>
      </c>
      <c r="E61" s="21">
        <v>2920.0</v>
      </c>
      <c r="F61" s="21">
        <v>4143480.0</v>
      </c>
      <c r="G61" s="22" t="s">
        <v>928</v>
      </c>
      <c r="H61" s="23"/>
    </row>
    <row r="62">
      <c r="A62" s="19">
        <v>11.0</v>
      </c>
      <c r="B62" s="20"/>
      <c r="C62" s="19">
        <v>1.0</v>
      </c>
      <c r="D62" s="21">
        <v>4864.0</v>
      </c>
      <c r="E62" s="21">
        <v>3200.0</v>
      </c>
      <c r="F62" s="21">
        <v>1.55648E7</v>
      </c>
      <c r="G62" s="22" t="s">
        <v>929</v>
      </c>
      <c r="H62" s="23"/>
    </row>
    <row r="63">
      <c r="A63" s="19">
        <v>11.0</v>
      </c>
      <c r="B63" s="20"/>
      <c r="C63" s="19">
        <v>1.0</v>
      </c>
      <c r="D63" s="21">
        <v>3992.0</v>
      </c>
      <c r="E63" s="21">
        <v>3200.0</v>
      </c>
      <c r="F63" s="21">
        <v>1.27744E7</v>
      </c>
      <c r="G63" s="22" t="s">
        <v>929</v>
      </c>
      <c r="H63" s="23"/>
    </row>
    <row r="64">
      <c r="A64" s="19">
        <v>11.0</v>
      </c>
      <c r="B64" s="20"/>
      <c r="C64" s="19">
        <v>1.0</v>
      </c>
      <c r="D64" s="21">
        <v>6492.0</v>
      </c>
      <c r="E64" s="21">
        <v>3230.0</v>
      </c>
      <c r="F64" s="21">
        <v>2.096916E7</v>
      </c>
      <c r="G64" s="22" t="s">
        <v>929</v>
      </c>
      <c r="H64" s="23"/>
    </row>
    <row r="65">
      <c r="A65" s="19">
        <v>11.0</v>
      </c>
      <c r="B65" s="20"/>
      <c r="C65" s="19">
        <v>2.0</v>
      </c>
      <c r="D65" s="21">
        <v>4796.0</v>
      </c>
      <c r="E65" s="21">
        <v>3150.0</v>
      </c>
      <c r="F65" s="21">
        <v>1.51074E7</v>
      </c>
      <c r="G65" s="22" t="s">
        <v>930</v>
      </c>
      <c r="H65" s="23"/>
    </row>
    <row r="66">
      <c r="A66" s="19">
        <v>11.0</v>
      </c>
      <c r="B66" s="20"/>
      <c r="C66" s="19">
        <v>2.0</v>
      </c>
      <c r="D66" s="21">
        <v>3714.0</v>
      </c>
      <c r="E66" s="21">
        <v>3150.0</v>
      </c>
      <c r="F66" s="21">
        <v>1.16991E7</v>
      </c>
      <c r="G66" s="22" t="s">
        <v>930</v>
      </c>
      <c r="H66" s="23"/>
    </row>
    <row r="67">
      <c r="A67" s="19">
        <v>11.0</v>
      </c>
      <c r="B67" s="20"/>
      <c r="C67" s="19">
        <v>2.0</v>
      </c>
      <c r="D67" s="21">
        <v>5877.0</v>
      </c>
      <c r="E67" s="21">
        <v>3200.0</v>
      </c>
      <c r="F67" s="21">
        <v>1.88064E7</v>
      </c>
      <c r="G67" s="22" t="s">
        <v>930</v>
      </c>
      <c r="H67" s="23"/>
    </row>
    <row r="68">
      <c r="A68" s="19">
        <v>12.0</v>
      </c>
      <c r="B68" s="20"/>
      <c r="C68" s="19">
        <v>1.0</v>
      </c>
      <c r="D68" s="21">
        <v>8438.0</v>
      </c>
      <c r="E68" s="21">
        <v>3210.0</v>
      </c>
      <c r="F68" s="21">
        <v>2.708598E7</v>
      </c>
      <c r="G68" s="22" t="s">
        <v>931</v>
      </c>
      <c r="H68" s="23"/>
    </row>
    <row r="69">
      <c r="A69" s="19">
        <v>12.0</v>
      </c>
      <c r="B69" s="20"/>
      <c r="C69" s="19">
        <v>1.0</v>
      </c>
      <c r="D69" s="21">
        <v>4642.0</v>
      </c>
      <c r="E69" s="21">
        <v>3290.0</v>
      </c>
      <c r="F69" s="21">
        <v>1.527218E7</v>
      </c>
      <c r="G69" s="22" t="s">
        <v>931</v>
      </c>
      <c r="H69" s="23"/>
    </row>
    <row r="70">
      <c r="A70" s="19">
        <v>12.0</v>
      </c>
      <c r="B70" s="20"/>
      <c r="C70" s="19">
        <v>1.0</v>
      </c>
      <c r="D70" s="21">
        <v>2452.0</v>
      </c>
      <c r="E70" s="21">
        <v>3250.0</v>
      </c>
      <c r="F70" s="21">
        <v>7969000.0</v>
      </c>
      <c r="G70" s="22" t="s">
        <v>931</v>
      </c>
      <c r="H70" s="23"/>
    </row>
    <row r="71">
      <c r="A71" s="19">
        <v>12.0</v>
      </c>
      <c r="B71" s="20"/>
      <c r="C71" s="19">
        <v>1.0</v>
      </c>
      <c r="D71" s="21">
        <v>3213.0</v>
      </c>
      <c r="E71" s="21">
        <v>3160.0</v>
      </c>
      <c r="F71" s="21">
        <v>1.015308E7</v>
      </c>
      <c r="G71" s="22" t="s">
        <v>931</v>
      </c>
      <c r="H71" s="23"/>
    </row>
    <row r="72">
      <c r="A72" s="19">
        <v>12.0</v>
      </c>
      <c r="B72" s="20"/>
      <c r="C72" s="19">
        <v>2.0</v>
      </c>
      <c r="D72" s="21">
        <v>3958.0</v>
      </c>
      <c r="E72" s="21">
        <v>3350.0</v>
      </c>
      <c r="F72" s="21">
        <v>1.32593E7</v>
      </c>
      <c r="G72" s="22" t="s">
        <v>932</v>
      </c>
      <c r="H72" s="23"/>
    </row>
    <row r="73">
      <c r="A73" s="19">
        <v>12.0</v>
      </c>
      <c r="B73" s="20"/>
      <c r="C73" s="19">
        <v>2.0</v>
      </c>
      <c r="D73" s="21">
        <v>5216.0</v>
      </c>
      <c r="E73" s="21">
        <v>3270.0</v>
      </c>
      <c r="F73" s="21">
        <v>1.705632E7</v>
      </c>
      <c r="G73" s="22" t="s">
        <v>932</v>
      </c>
      <c r="H73" s="23"/>
    </row>
    <row r="74">
      <c r="A74" s="19">
        <v>12.0</v>
      </c>
      <c r="B74" s="20"/>
      <c r="C74" s="19">
        <v>2.0</v>
      </c>
      <c r="D74" s="21">
        <v>3223.0</v>
      </c>
      <c r="E74" s="21">
        <v>3250.0</v>
      </c>
      <c r="F74" s="21">
        <v>1.047475E7</v>
      </c>
      <c r="G74" s="22" t="s">
        <v>932</v>
      </c>
      <c r="H74" s="23"/>
    </row>
    <row r="75">
      <c r="A75" s="19">
        <v>12.0</v>
      </c>
      <c r="B75" s="20"/>
      <c r="C75" s="19">
        <v>2.0</v>
      </c>
      <c r="D75" s="21">
        <v>1052.0</v>
      </c>
      <c r="E75" s="21">
        <v>3000.0</v>
      </c>
      <c r="F75" s="21">
        <v>3156000.0</v>
      </c>
      <c r="G75" s="22" t="s">
        <v>932</v>
      </c>
      <c r="H75" s="23"/>
    </row>
    <row r="76">
      <c r="A76" s="19">
        <v>12.0</v>
      </c>
      <c r="B76" s="20"/>
      <c r="C76" s="19">
        <v>2.0</v>
      </c>
      <c r="D76" s="21">
        <v>1128.0</v>
      </c>
      <c r="E76" s="21">
        <v>3130.0</v>
      </c>
      <c r="F76" s="21">
        <v>3530640.0</v>
      </c>
      <c r="G76" s="22" t="s">
        <v>932</v>
      </c>
      <c r="H76" s="23"/>
    </row>
  </sheetData>
  <autoFilter ref="$A$1:$G$76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9E0B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2.38"/>
    <col customWidth="1" min="2" max="2" width="12.25"/>
    <col customWidth="1" min="3" max="3" width="11.13"/>
    <col customWidth="1" min="4" max="4" width="14.0"/>
    <col customWidth="1" min="5" max="5" width="15.13"/>
    <col customWidth="1" min="6" max="6" width="17.25"/>
    <col customWidth="1" min="7" max="7" width="9.88"/>
  </cols>
  <sheetData>
    <row r="1">
      <c r="A1" s="17" t="s">
        <v>5</v>
      </c>
      <c r="B1" s="17" t="s">
        <v>6</v>
      </c>
      <c r="C1" s="17" t="s">
        <v>13</v>
      </c>
      <c r="D1" s="17" t="s">
        <v>599</v>
      </c>
      <c r="E1" s="17" t="s">
        <v>600</v>
      </c>
      <c r="F1" s="17" t="s">
        <v>10</v>
      </c>
      <c r="G1" s="24" t="s">
        <v>9</v>
      </c>
      <c r="H1" s="18"/>
    </row>
    <row r="2">
      <c r="A2" s="19">
        <v>1.0</v>
      </c>
      <c r="B2" s="20"/>
      <c r="C2" s="19">
        <v>1.0</v>
      </c>
      <c r="D2" s="22" t="s">
        <v>602</v>
      </c>
      <c r="E2" s="25" t="s">
        <v>169</v>
      </c>
      <c r="F2" s="22" t="s">
        <v>18</v>
      </c>
      <c r="G2" s="21">
        <v>1021000.0</v>
      </c>
      <c r="H2" s="23"/>
    </row>
    <row r="3">
      <c r="A3" s="19">
        <v>1.0</v>
      </c>
      <c r="B3" s="20"/>
      <c r="C3" s="19">
        <v>1.0</v>
      </c>
      <c r="D3" s="22" t="s">
        <v>602</v>
      </c>
      <c r="E3" s="25" t="s">
        <v>176</v>
      </c>
      <c r="F3" s="22" t="s">
        <v>18</v>
      </c>
      <c r="G3" s="21">
        <v>1700000.0</v>
      </c>
      <c r="H3" s="23"/>
    </row>
    <row r="4">
      <c r="A4" s="19">
        <v>1.0</v>
      </c>
      <c r="B4" s="20"/>
      <c r="C4" s="19">
        <v>1.0</v>
      </c>
      <c r="D4" s="22" t="s">
        <v>602</v>
      </c>
      <c r="E4" s="25" t="s">
        <v>183</v>
      </c>
      <c r="F4" s="22" t="s">
        <v>18</v>
      </c>
      <c r="G4" s="21">
        <v>300000.0</v>
      </c>
      <c r="H4" s="23"/>
    </row>
    <row r="5">
      <c r="A5" s="19">
        <v>1.0</v>
      </c>
      <c r="B5" s="20"/>
      <c r="C5" s="19">
        <v>1.0</v>
      </c>
      <c r="D5" s="22" t="s">
        <v>602</v>
      </c>
      <c r="E5" s="25" t="s">
        <v>188</v>
      </c>
      <c r="F5" s="22" t="s">
        <v>18</v>
      </c>
      <c r="G5" s="21">
        <v>100000.0</v>
      </c>
      <c r="H5" s="23"/>
    </row>
    <row r="6">
      <c r="A6" s="19">
        <v>1.0</v>
      </c>
      <c r="B6" s="20"/>
      <c r="C6" s="19">
        <v>1.0</v>
      </c>
      <c r="D6" s="22" t="s">
        <v>610</v>
      </c>
      <c r="E6" s="25" t="s">
        <v>200</v>
      </c>
      <c r="F6" s="22" t="s">
        <v>18</v>
      </c>
      <c r="G6" s="21">
        <v>110000.0</v>
      </c>
      <c r="H6" s="23"/>
    </row>
    <row r="7">
      <c r="A7" s="19">
        <v>1.0</v>
      </c>
      <c r="B7" s="20"/>
      <c r="C7" s="19">
        <v>1.0</v>
      </c>
      <c r="D7" s="22" t="s">
        <v>607</v>
      </c>
      <c r="E7" s="25" t="s">
        <v>933</v>
      </c>
      <c r="F7" s="22" t="s">
        <v>934</v>
      </c>
      <c r="G7" s="21">
        <v>9875000.0</v>
      </c>
      <c r="H7" s="23"/>
    </row>
    <row r="8">
      <c r="A8" s="19">
        <v>1.0</v>
      </c>
      <c r="B8" s="20"/>
      <c r="C8" s="19">
        <v>1.0</v>
      </c>
      <c r="D8" s="22" t="s">
        <v>613</v>
      </c>
      <c r="E8" s="25" t="s">
        <v>935</v>
      </c>
      <c r="F8" s="22" t="s">
        <v>18</v>
      </c>
      <c r="G8" s="21">
        <v>3960000.0</v>
      </c>
      <c r="H8" s="23"/>
    </row>
    <row r="9">
      <c r="A9" s="19">
        <v>1.0</v>
      </c>
      <c r="B9" s="20"/>
      <c r="C9" s="19">
        <v>2.0</v>
      </c>
      <c r="D9" s="22" t="s">
        <v>602</v>
      </c>
      <c r="E9" s="25" t="s">
        <v>169</v>
      </c>
      <c r="F9" s="22" t="s">
        <v>26</v>
      </c>
      <c r="G9" s="21">
        <v>800000.0</v>
      </c>
      <c r="H9" s="23"/>
    </row>
    <row r="10">
      <c r="A10" s="19">
        <v>1.0</v>
      </c>
      <c r="B10" s="20"/>
      <c r="C10" s="19">
        <v>2.0</v>
      </c>
      <c r="D10" s="22" t="s">
        <v>602</v>
      </c>
      <c r="E10" s="25" t="s">
        <v>176</v>
      </c>
      <c r="F10" s="22" t="s">
        <v>26</v>
      </c>
      <c r="G10" s="21">
        <v>1361000.0</v>
      </c>
      <c r="H10" s="23"/>
    </row>
    <row r="11">
      <c r="A11" s="19">
        <v>1.0</v>
      </c>
      <c r="B11" s="20"/>
      <c r="C11" s="19">
        <v>2.0</v>
      </c>
      <c r="D11" s="22" t="s">
        <v>602</v>
      </c>
      <c r="E11" s="25" t="s">
        <v>183</v>
      </c>
      <c r="F11" s="22" t="s">
        <v>26</v>
      </c>
      <c r="G11" s="21">
        <v>300000.0</v>
      </c>
      <c r="H11" s="23"/>
    </row>
    <row r="12">
      <c r="A12" s="19">
        <v>1.0</v>
      </c>
      <c r="B12" s="20"/>
      <c r="C12" s="19">
        <v>2.0</v>
      </c>
      <c r="D12" s="22" t="s">
        <v>602</v>
      </c>
      <c r="E12" s="25" t="s">
        <v>188</v>
      </c>
      <c r="F12" s="22" t="s">
        <v>26</v>
      </c>
      <c r="G12" s="21">
        <v>100000.0</v>
      </c>
      <c r="H12" s="23"/>
    </row>
    <row r="13">
      <c r="A13" s="19">
        <v>1.0</v>
      </c>
      <c r="B13" s="20"/>
      <c r="C13" s="19">
        <v>2.0</v>
      </c>
      <c r="D13" s="22" t="s">
        <v>613</v>
      </c>
      <c r="E13" s="25" t="s">
        <v>233</v>
      </c>
      <c r="F13" s="22" t="s">
        <v>26</v>
      </c>
      <c r="G13" s="21">
        <v>6600000.0</v>
      </c>
      <c r="H13" s="23"/>
    </row>
    <row r="14">
      <c r="A14" s="19">
        <v>1.0</v>
      </c>
      <c r="B14" s="20"/>
      <c r="C14" s="19">
        <v>2.0</v>
      </c>
      <c r="D14" s="22" t="s">
        <v>239</v>
      </c>
      <c r="E14" s="25" t="s">
        <v>239</v>
      </c>
      <c r="F14" s="22" t="s">
        <v>26</v>
      </c>
      <c r="G14" s="21">
        <v>6330000.0</v>
      </c>
      <c r="H14" s="23"/>
    </row>
    <row r="15">
      <c r="A15" s="19">
        <v>1.0</v>
      </c>
      <c r="B15" s="20"/>
      <c r="C15" s="19">
        <v>2.0</v>
      </c>
      <c r="D15" s="22" t="s">
        <v>613</v>
      </c>
      <c r="E15" s="25" t="s">
        <v>935</v>
      </c>
      <c r="F15" s="22" t="s">
        <v>26</v>
      </c>
      <c r="G15" s="21">
        <v>1270000.0</v>
      </c>
      <c r="H15" s="23"/>
    </row>
    <row r="16">
      <c r="A16" s="19">
        <v>2.0</v>
      </c>
      <c r="B16" s="20"/>
      <c r="C16" s="19">
        <v>1.0</v>
      </c>
      <c r="D16" s="22" t="s">
        <v>602</v>
      </c>
      <c r="E16" s="25" t="s">
        <v>169</v>
      </c>
      <c r="F16" s="22" t="s">
        <v>40</v>
      </c>
      <c r="G16" s="21">
        <v>758000.0</v>
      </c>
      <c r="H16" s="23"/>
    </row>
    <row r="17">
      <c r="A17" s="19">
        <v>2.0</v>
      </c>
      <c r="B17" s="20"/>
      <c r="C17" s="19">
        <v>1.0</v>
      </c>
      <c r="D17" s="22" t="s">
        <v>602</v>
      </c>
      <c r="E17" s="25" t="s">
        <v>176</v>
      </c>
      <c r="F17" s="22" t="s">
        <v>40</v>
      </c>
      <c r="G17" s="21">
        <v>1289000.0</v>
      </c>
      <c r="H17" s="23"/>
    </row>
    <row r="18">
      <c r="A18" s="19">
        <v>2.0</v>
      </c>
      <c r="B18" s="20"/>
      <c r="C18" s="19">
        <v>1.0</v>
      </c>
      <c r="D18" s="22" t="s">
        <v>602</v>
      </c>
      <c r="E18" s="25" t="s">
        <v>183</v>
      </c>
      <c r="F18" s="22" t="s">
        <v>40</v>
      </c>
      <c r="G18" s="21">
        <v>300000.0</v>
      </c>
      <c r="H18" s="23"/>
    </row>
    <row r="19">
      <c r="A19" s="19">
        <v>2.0</v>
      </c>
      <c r="B19" s="20"/>
      <c r="C19" s="19">
        <v>1.0</v>
      </c>
      <c r="D19" s="22" t="s">
        <v>602</v>
      </c>
      <c r="E19" s="25" t="s">
        <v>188</v>
      </c>
      <c r="F19" s="22" t="s">
        <v>40</v>
      </c>
      <c r="G19" s="21">
        <v>100000.0</v>
      </c>
      <c r="H19" s="23"/>
    </row>
    <row r="20">
      <c r="A20" s="19">
        <v>2.0</v>
      </c>
      <c r="B20" s="20"/>
      <c r="C20" s="19">
        <v>1.0</v>
      </c>
      <c r="D20" s="22" t="s">
        <v>613</v>
      </c>
      <c r="E20" s="25" t="s">
        <v>935</v>
      </c>
      <c r="F20" s="22" t="s">
        <v>40</v>
      </c>
      <c r="G20" s="21">
        <v>1715000.0</v>
      </c>
      <c r="H20" s="23"/>
    </row>
    <row r="21">
      <c r="A21" s="19">
        <v>2.0</v>
      </c>
      <c r="B21" s="20"/>
      <c r="C21" s="19">
        <v>2.0</v>
      </c>
      <c r="D21" s="22" t="s">
        <v>602</v>
      </c>
      <c r="E21" s="25" t="s">
        <v>169</v>
      </c>
      <c r="F21" s="22" t="s">
        <v>47</v>
      </c>
      <c r="G21" s="21">
        <v>782000.0</v>
      </c>
      <c r="H21" s="23"/>
    </row>
    <row r="22">
      <c r="A22" s="19">
        <v>2.0</v>
      </c>
      <c r="B22" s="20"/>
      <c r="C22" s="19">
        <v>2.0</v>
      </c>
      <c r="D22" s="22" t="s">
        <v>602</v>
      </c>
      <c r="E22" s="25" t="s">
        <v>176</v>
      </c>
      <c r="F22" s="22" t="s">
        <v>47</v>
      </c>
      <c r="G22" s="21">
        <v>1329000.0</v>
      </c>
      <c r="H22" s="23"/>
    </row>
    <row r="23">
      <c r="A23" s="19">
        <v>2.0</v>
      </c>
      <c r="B23" s="20"/>
      <c r="C23" s="19">
        <v>2.0</v>
      </c>
      <c r="D23" s="22" t="s">
        <v>602</v>
      </c>
      <c r="E23" s="25" t="s">
        <v>183</v>
      </c>
      <c r="F23" s="22" t="s">
        <v>47</v>
      </c>
      <c r="G23" s="21">
        <v>300000.0</v>
      </c>
      <c r="H23" s="23"/>
    </row>
    <row r="24">
      <c r="A24" s="19">
        <v>2.0</v>
      </c>
      <c r="B24" s="20"/>
      <c r="C24" s="19">
        <v>2.0</v>
      </c>
      <c r="D24" s="22" t="s">
        <v>602</v>
      </c>
      <c r="E24" s="25" t="s">
        <v>188</v>
      </c>
      <c r="F24" s="22" t="s">
        <v>47</v>
      </c>
      <c r="G24" s="21">
        <v>100000.0</v>
      </c>
      <c r="H24" s="23"/>
    </row>
    <row r="25">
      <c r="A25" s="19">
        <v>2.0</v>
      </c>
      <c r="B25" s="20"/>
      <c r="C25" s="19">
        <v>2.0</v>
      </c>
      <c r="D25" s="22" t="s">
        <v>239</v>
      </c>
      <c r="E25" s="25" t="s">
        <v>239</v>
      </c>
      <c r="F25" s="22" t="s">
        <v>47</v>
      </c>
      <c r="G25" s="21">
        <v>6450000.0</v>
      </c>
      <c r="H25" s="23"/>
    </row>
    <row r="26">
      <c r="A26" s="19">
        <v>2.0</v>
      </c>
      <c r="B26" s="20"/>
      <c r="C26" s="19">
        <v>2.0</v>
      </c>
      <c r="D26" s="22" t="s">
        <v>613</v>
      </c>
      <c r="E26" s="25" t="s">
        <v>935</v>
      </c>
      <c r="F26" s="22" t="s">
        <v>47</v>
      </c>
      <c r="G26" s="21">
        <v>1320000.0</v>
      </c>
      <c r="H26" s="23"/>
    </row>
    <row r="27">
      <c r="A27" s="19">
        <v>2.0</v>
      </c>
      <c r="B27" s="20"/>
      <c r="C27" s="19">
        <v>2.0</v>
      </c>
      <c r="D27" s="22" t="s">
        <v>613</v>
      </c>
      <c r="E27" s="25" t="s">
        <v>936</v>
      </c>
      <c r="F27" s="22" t="s">
        <v>47</v>
      </c>
      <c r="G27" s="21">
        <v>6600000.0</v>
      </c>
      <c r="H27" s="23"/>
    </row>
    <row r="28">
      <c r="A28" s="19">
        <v>2.0</v>
      </c>
      <c r="B28" s="20"/>
      <c r="C28" s="19">
        <v>2.0</v>
      </c>
      <c r="D28" s="22" t="s">
        <v>607</v>
      </c>
      <c r="E28" s="25" t="s">
        <v>937</v>
      </c>
      <c r="F28" s="22" t="s">
        <v>47</v>
      </c>
      <c r="G28" s="21">
        <v>500000.0</v>
      </c>
      <c r="H28" s="23"/>
    </row>
    <row r="29">
      <c r="A29" s="19">
        <v>3.0</v>
      </c>
      <c r="B29" s="20"/>
      <c r="C29" s="19">
        <v>1.0</v>
      </c>
      <c r="D29" s="22" t="s">
        <v>602</v>
      </c>
      <c r="E29" s="25" t="s">
        <v>169</v>
      </c>
      <c r="F29" s="22" t="s">
        <v>55</v>
      </c>
      <c r="G29" s="21">
        <v>911000.0</v>
      </c>
      <c r="H29" s="23"/>
    </row>
    <row r="30">
      <c r="A30" s="19">
        <v>3.0</v>
      </c>
      <c r="B30" s="20"/>
      <c r="C30" s="19">
        <v>1.0</v>
      </c>
      <c r="D30" s="22" t="s">
        <v>602</v>
      </c>
      <c r="E30" s="25" t="s">
        <v>176</v>
      </c>
      <c r="F30" s="22" t="s">
        <v>55</v>
      </c>
      <c r="G30" s="21">
        <v>1549000.0</v>
      </c>
      <c r="H30" s="23"/>
    </row>
    <row r="31">
      <c r="A31" s="19">
        <v>3.0</v>
      </c>
      <c r="B31" s="20"/>
      <c r="C31" s="19">
        <v>1.0</v>
      </c>
      <c r="D31" s="22" t="s">
        <v>602</v>
      </c>
      <c r="E31" s="25" t="s">
        <v>183</v>
      </c>
      <c r="F31" s="22" t="s">
        <v>55</v>
      </c>
      <c r="G31" s="21">
        <v>300000.0</v>
      </c>
      <c r="H31" s="23"/>
    </row>
    <row r="32">
      <c r="A32" s="19">
        <v>3.0</v>
      </c>
      <c r="B32" s="20"/>
      <c r="C32" s="19">
        <v>1.0</v>
      </c>
      <c r="D32" s="22" t="s">
        <v>602</v>
      </c>
      <c r="E32" s="25" t="s">
        <v>188</v>
      </c>
      <c r="F32" s="22" t="s">
        <v>55</v>
      </c>
      <c r="G32" s="21">
        <v>100000.0</v>
      </c>
      <c r="H32" s="23"/>
    </row>
    <row r="33">
      <c r="A33" s="19">
        <v>3.0</v>
      </c>
      <c r="B33" s="20"/>
      <c r="C33" s="19">
        <v>1.0</v>
      </c>
      <c r="D33" s="22" t="s">
        <v>607</v>
      </c>
      <c r="E33" s="25" t="s">
        <v>607</v>
      </c>
      <c r="F33" s="22" t="s">
        <v>55</v>
      </c>
      <c r="G33" s="21">
        <v>1.155E7</v>
      </c>
      <c r="H33" s="23"/>
    </row>
    <row r="34">
      <c r="A34" s="19">
        <v>3.0</v>
      </c>
      <c r="B34" s="20"/>
      <c r="C34" s="19">
        <v>1.0</v>
      </c>
      <c r="D34" s="22" t="s">
        <v>613</v>
      </c>
      <c r="E34" s="25" t="s">
        <v>935</v>
      </c>
      <c r="F34" s="22" t="s">
        <v>55</v>
      </c>
      <c r="G34" s="21">
        <v>6900000.0</v>
      </c>
      <c r="H34" s="23"/>
    </row>
    <row r="35">
      <c r="A35" s="19">
        <v>3.0</v>
      </c>
      <c r="B35" s="20"/>
      <c r="C35" s="19">
        <v>2.0</v>
      </c>
      <c r="D35" s="22" t="s">
        <v>602</v>
      </c>
      <c r="E35" s="25" t="s">
        <v>169</v>
      </c>
      <c r="F35" s="22" t="s">
        <v>64</v>
      </c>
      <c r="G35" s="21">
        <v>1016000.0</v>
      </c>
      <c r="H35" s="23"/>
    </row>
    <row r="36">
      <c r="A36" s="19">
        <v>3.0</v>
      </c>
      <c r="B36" s="20"/>
      <c r="C36" s="19">
        <v>2.0</v>
      </c>
      <c r="D36" s="22" t="s">
        <v>602</v>
      </c>
      <c r="E36" s="25" t="s">
        <v>176</v>
      </c>
      <c r="F36" s="22" t="s">
        <v>64</v>
      </c>
      <c r="G36" s="21">
        <v>1727000.0</v>
      </c>
      <c r="H36" s="23"/>
    </row>
    <row r="37">
      <c r="A37" s="19">
        <v>3.0</v>
      </c>
      <c r="B37" s="20"/>
      <c r="C37" s="19">
        <v>2.0</v>
      </c>
      <c r="D37" s="22" t="s">
        <v>602</v>
      </c>
      <c r="E37" s="25" t="s">
        <v>183</v>
      </c>
      <c r="F37" s="22" t="s">
        <v>64</v>
      </c>
      <c r="G37" s="21">
        <v>300000.0</v>
      </c>
      <c r="H37" s="23"/>
    </row>
    <row r="38">
      <c r="A38" s="19">
        <v>3.0</v>
      </c>
      <c r="B38" s="20"/>
      <c r="C38" s="19">
        <v>2.0</v>
      </c>
      <c r="D38" s="22" t="s">
        <v>602</v>
      </c>
      <c r="E38" s="25" t="s">
        <v>188</v>
      </c>
      <c r="F38" s="22" t="s">
        <v>64</v>
      </c>
      <c r="G38" s="21">
        <v>100000.0</v>
      </c>
      <c r="H38" s="23"/>
    </row>
    <row r="39">
      <c r="A39" s="19">
        <v>3.0</v>
      </c>
      <c r="B39" s="20"/>
      <c r="C39" s="19">
        <v>2.0</v>
      </c>
      <c r="D39" s="22" t="s">
        <v>239</v>
      </c>
      <c r="E39" s="25" t="s">
        <v>239</v>
      </c>
      <c r="F39" s="22" t="s">
        <v>64</v>
      </c>
      <c r="G39" s="21">
        <v>4450000.0</v>
      </c>
      <c r="H39" s="23"/>
    </row>
    <row r="40">
      <c r="A40" s="19">
        <v>3.0</v>
      </c>
      <c r="B40" s="20"/>
      <c r="C40" s="19">
        <v>2.0</v>
      </c>
      <c r="D40" s="22" t="s">
        <v>613</v>
      </c>
      <c r="E40" s="25" t="s">
        <v>936</v>
      </c>
      <c r="F40" s="22" t="s">
        <v>64</v>
      </c>
      <c r="G40" s="21">
        <v>6600000.0</v>
      </c>
      <c r="H40" s="23"/>
    </row>
    <row r="41">
      <c r="A41" s="19">
        <v>3.0</v>
      </c>
      <c r="B41" s="20"/>
      <c r="C41" s="19">
        <v>2.0</v>
      </c>
      <c r="D41" s="22" t="s">
        <v>613</v>
      </c>
      <c r="E41" s="25" t="s">
        <v>935</v>
      </c>
      <c r="F41" s="22" t="s">
        <v>64</v>
      </c>
      <c r="G41" s="21">
        <v>5884000.0</v>
      </c>
      <c r="H41" s="23"/>
    </row>
    <row r="42">
      <c r="A42" s="19">
        <v>4.0</v>
      </c>
      <c r="B42" s="20"/>
      <c r="C42" s="19">
        <v>1.0</v>
      </c>
      <c r="D42" s="22" t="s">
        <v>602</v>
      </c>
      <c r="E42" s="25" t="s">
        <v>169</v>
      </c>
      <c r="F42" s="22" t="s">
        <v>70</v>
      </c>
      <c r="G42" s="21">
        <v>1171000.0</v>
      </c>
      <c r="H42" s="23"/>
    </row>
    <row r="43">
      <c r="A43" s="19">
        <v>4.0</v>
      </c>
      <c r="B43" s="20"/>
      <c r="C43" s="19">
        <v>1.0</v>
      </c>
      <c r="D43" s="22" t="s">
        <v>602</v>
      </c>
      <c r="E43" s="25" t="s">
        <v>176</v>
      </c>
      <c r="F43" s="22" t="s">
        <v>70</v>
      </c>
      <c r="G43" s="21">
        <v>1991000.0</v>
      </c>
      <c r="H43" s="23"/>
    </row>
    <row r="44">
      <c r="A44" s="19">
        <v>4.0</v>
      </c>
      <c r="B44" s="20"/>
      <c r="C44" s="19">
        <v>1.0</v>
      </c>
      <c r="D44" s="22" t="s">
        <v>602</v>
      </c>
      <c r="E44" s="25" t="s">
        <v>183</v>
      </c>
      <c r="F44" s="22" t="s">
        <v>70</v>
      </c>
      <c r="G44" s="21">
        <v>300000.0</v>
      </c>
      <c r="H44" s="23"/>
    </row>
    <row r="45">
      <c r="A45" s="19">
        <v>4.0</v>
      </c>
      <c r="B45" s="20"/>
      <c r="C45" s="19">
        <v>1.0</v>
      </c>
      <c r="D45" s="22" t="s">
        <v>602</v>
      </c>
      <c r="E45" s="25" t="s">
        <v>188</v>
      </c>
      <c r="F45" s="22" t="s">
        <v>70</v>
      </c>
      <c r="G45" s="21">
        <v>100000.0</v>
      </c>
      <c r="H45" s="23"/>
    </row>
    <row r="46">
      <c r="A46" s="19">
        <v>4.0</v>
      </c>
      <c r="B46" s="20"/>
      <c r="C46" s="19">
        <v>1.0</v>
      </c>
      <c r="D46" s="22" t="s">
        <v>239</v>
      </c>
      <c r="E46" s="25" t="s">
        <v>239</v>
      </c>
      <c r="F46" s="22" t="s">
        <v>70</v>
      </c>
      <c r="G46" s="21">
        <v>4000000.0</v>
      </c>
      <c r="H46" s="23"/>
    </row>
    <row r="47">
      <c r="A47" s="19">
        <v>4.0</v>
      </c>
      <c r="B47" s="20"/>
      <c r="C47" s="19">
        <v>1.0</v>
      </c>
      <c r="D47" s="22" t="s">
        <v>607</v>
      </c>
      <c r="E47" s="25" t="s">
        <v>607</v>
      </c>
      <c r="F47" s="22" t="s">
        <v>70</v>
      </c>
      <c r="G47" s="21">
        <v>1.095E7</v>
      </c>
      <c r="H47" s="23"/>
    </row>
    <row r="48">
      <c r="A48" s="19">
        <v>4.0</v>
      </c>
      <c r="B48" s="20"/>
      <c r="C48" s="19">
        <v>1.0</v>
      </c>
      <c r="D48" s="22" t="s">
        <v>613</v>
      </c>
      <c r="E48" s="25" t="s">
        <v>935</v>
      </c>
      <c r="F48" s="22" t="s">
        <v>70</v>
      </c>
      <c r="G48" s="21">
        <v>680000.0</v>
      </c>
      <c r="H48" s="23"/>
    </row>
    <row r="49">
      <c r="A49" s="19">
        <v>4.0</v>
      </c>
      <c r="B49" s="20"/>
      <c r="C49" s="19">
        <v>2.0</v>
      </c>
      <c r="D49" s="22" t="s">
        <v>602</v>
      </c>
      <c r="E49" s="25" t="s">
        <v>169</v>
      </c>
      <c r="F49" s="22" t="s">
        <v>77</v>
      </c>
      <c r="G49" s="21">
        <v>919000.0</v>
      </c>
      <c r="H49" s="23"/>
    </row>
    <row r="50">
      <c r="A50" s="19">
        <v>4.0</v>
      </c>
      <c r="B50" s="20"/>
      <c r="C50" s="19">
        <v>2.0</v>
      </c>
      <c r="D50" s="22" t="s">
        <v>602</v>
      </c>
      <c r="E50" s="25" t="s">
        <v>176</v>
      </c>
      <c r="F50" s="22" t="s">
        <v>77</v>
      </c>
      <c r="G50" s="21">
        <v>1562000.0</v>
      </c>
      <c r="H50" s="23"/>
    </row>
    <row r="51">
      <c r="A51" s="19">
        <v>4.0</v>
      </c>
      <c r="B51" s="20"/>
      <c r="C51" s="19">
        <v>2.0</v>
      </c>
      <c r="D51" s="22" t="s">
        <v>602</v>
      </c>
      <c r="E51" s="25" t="s">
        <v>183</v>
      </c>
      <c r="F51" s="22" t="s">
        <v>77</v>
      </c>
      <c r="G51" s="21">
        <v>300000.0</v>
      </c>
      <c r="H51" s="23"/>
    </row>
    <row r="52">
      <c r="A52" s="19">
        <v>4.0</v>
      </c>
      <c r="B52" s="20"/>
      <c r="C52" s="19">
        <v>2.0</v>
      </c>
      <c r="D52" s="22" t="s">
        <v>602</v>
      </c>
      <c r="E52" s="25" t="s">
        <v>188</v>
      </c>
      <c r="F52" s="22" t="s">
        <v>77</v>
      </c>
      <c r="G52" s="21">
        <v>100000.0</v>
      </c>
      <c r="H52" s="23"/>
    </row>
    <row r="53">
      <c r="A53" s="19">
        <v>4.0</v>
      </c>
      <c r="B53" s="20"/>
      <c r="C53" s="19">
        <v>2.0</v>
      </c>
      <c r="D53" s="22" t="s">
        <v>237</v>
      </c>
      <c r="E53" s="25" t="s">
        <v>237</v>
      </c>
      <c r="F53" s="22" t="s">
        <v>77</v>
      </c>
      <c r="G53" s="21">
        <v>5800000.0</v>
      </c>
      <c r="H53" s="23"/>
    </row>
    <row r="54">
      <c r="A54" s="19">
        <v>4.0</v>
      </c>
      <c r="B54" s="20"/>
      <c r="C54" s="19">
        <v>2.0</v>
      </c>
      <c r="D54" s="22" t="s">
        <v>613</v>
      </c>
      <c r="E54" s="25" t="s">
        <v>936</v>
      </c>
      <c r="F54" s="22" t="s">
        <v>77</v>
      </c>
      <c r="G54" s="21">
        <v>6000000.0</v>
      </c>
      <c r="H54" s="23"/>
    </row>
    <row r="55">
      <c r="A55" s="19">
        <v>4.0</v>
      </c>
      <c r="B55" s="20"/>
      <c r="C55" s="19">
        <v>2.0</v>
      </c>
      <c r="D55" s="22" t="s">
        <v>613</v>
      </c>
      <c r="E55" s="25" t="s">
        <v>935</v>
      </c>
      <c r="F55" s="22" t="s">
        <v>77</v>
      </c>
      <c r="G55" s="21">
        <v>2800000.0</v>
      </c>
      <c r="H55" s="23"/>
    </row>
    <row r="56">
      <c r="A56" s="19">
        <v>5.0</v>
      </c>
      <c r="B56" s="20"/>
      <c r="C56" s="19">
        <v>1.0</v>
      </c>
      <c r="D56" s="22" t="s">
        <v>602</v>
      </c>
      <c r="E56" s="25" t="s">
        <v>169</v>
      </c>
      <c r="F56" s="22" t="s">
        <v>83</v>
      </c>
      <c r="G56" s="21">
        <v>1712000.0</v>
      </c>
      <c r="H56" s="23"/>
    </row>
    <row r="57">
      <c r="A57" s="19">
        <v>5.0</v>
      </c>
      <c r="B57" s="20"/>
      <c r="C57" s="19">
        <v>1.0</v>
      </c>
      <c r="D57" s="22" t="s">
        <v>602</v>
      </c>
      <c r="E57" s="25" t="s">
        <v>176</v>
      </c>
      <c r="F57" s="22" t="s">
        <v>83</v>
      </c>
      <c r="G57" s="21">
        <v>2910000.0</v>
      </c>
      <c r="H57" s="23"/>
    </row>
    <row r="58">
      <c r="A58" s="19">
        <v>5.0</v>
      </c>
      <c r="B58" s="20"/>
      <c r="C58" s="19">
        <v>1.0</v>
      </c>
      <c r="D58" s="22" t="s">
        <v>602</v>
      </c>
      <c r="E58" s="25" t="s">
        <v>183</v>
      </c>
      <c r="F58" s="22" t="s">
        <v>83</v>
      </c>
      <c r="G58" s="21">
        <v>500000.0</v>
      </c>
      <c r="H58" s="23"/>
    </row>
    <row r="59">
      <c r="A59" s="19">
        <v>5.0</v>
      </c>
      <c r="B59" s="20"/>
      <c r="C59" s="19">
        <v>1.0</v>
      </c>
      <c r="D59" s="22" t="s">
        <v>602</v>
      </c>
      <c r="E59" s="25" t="s">
        <v>188</v>
      </c>
      <c r="F59" s="22" t="s">
        <v>83</v>
      </c>
      <c r="G59" s="21">
        <v>150000.0</v>
      </c>
      <c r="H59" s="23"/>
    </row>
    <row r="60">
      <c r="A60" s="19">
        <v>5.0</v>
      </c>
      <c r="B60" s="20"/>
      <c r="C60" s="19">
        <v>1.0</v>
      </c>
      <c r="D60" s="22" t="s">
        <v>239</v>
      </c>
      <c r="E60" s="25" t="s">
        <v>239</v>
      </c>
      <c r="F60" s="22" t="s">
        <v>83</v>
      </c>
      <c r="G60" s="21">
        <v>1000000.0</v>
      </c>
      <c r="H60" s="23"/>
    </row>
    <row r="61">
      <c r="A61" s="19">
        <v>5.0</v>
      </c>
      <c r="B61" s="20"/>
      <c r="C61" s="19">
        <v>1.0</v>
      </c>
      <c r="D61" s="22" t="s">
        <v>610</v>
      </c>
      <c r="E61" s="25" t="s">
        <v>938</v>
      </c>
      <c r="F61" s="22" t="s">
        <v>83</v>
      </c>
      <c r="G61" s="21">
        <v>3300000.0</v>
      </c>
      <c r="H61" s="23"/>
    </row>
    <row r="62">
      <c r="A62" s="19">
        <v>5.0</v>
      </c>
      <c r="B62" s="20"/>
      <c r="C62" s="19">
        <v>1.0</v>
      </c>
      <c r="D62" s="22" t="s">
        <v>602</v>
      </c>
      <c r="E62" s="25" t="s">
        <v>243</v>
      </c>
      <c r="F62" s="22" t="s">
        <v>83</v>
      </c>
      <c r="G62" s="21">
        <v>250000.0</v>
      </c>
      <c r="H62" s="23"/>
    </row>
    <row r="63">
      <c r="A63" s="19">
        <v>5.0</v>
      </c>
      <c r="B63" s="20"/>
      <c r="C63" s="19">
        <v>1.0</v>
      </c>
      <c r="D63" s="22" t="s">
        <v>613</v>
      </c>
      <c r="E63" s="25" t="s">
        <v>939</v>
      </c>
      <c r="F63" s="22" t="s">
        <v>83</v>
      </c>
      <c r="G63" s="21">
        <v>2600000.0</v>
      </c>
      <c r="H63" s="23"/>
    </row>
    <row r="64">
      <c r="A64" s="19">
        <v>5.0</v>
      </c>
      <c r="B64" s="20"/>
      <c r="C64" s="19">
        <v>2.0</v>
      </c>
      <c r="D64" s="22" t="s">
        <v>602</v>
      </c>
      <c r="E64" s="25" t="s">
        <v>169</v>
      </c>
      <c r="F64" s="22" t="s">
        <v>89</v>
      </c>
      <c r="G64" s="21">
        <v>1531000.0</v>
      </c>
      <c r="H64" s="23"/>
    </row>
    <row r="65">
      <c r="A65" s="19">
        <v>5.0</v>
      </c>
      <c r="B65" s="20"/>
      <c r="C65" s="19">
        <v>2.0</v>
      </c>
      <c r="D65" s="22" t="s">
        <v>602</v>
      </c>
      <c r="E65" s="25" t="s">
        <v>176</v>
      </c>
      <c r="F65" s="22" t="s">
        <v>89</v>
      </c>
      <c r="G65" s="21">
        <v>2600000.0</v>
      </c>
      <c r="H65" s="23"/>
    </row>
    <row r="66">
      <c r="A66" s="19">
        <v>5.0</v>
      </c>
      <c r="B66" s="20"/>
      <c r="C66" s="19">
        <v>2.0</v>
      </c>
      <c r="D66" s="22" t="s">
        <v>602</v>
      </c>
      <c r="E66" s="25" t="s">
        <v>183</v>
      </c>
      <c r="F66" s="22" t="s">
        <v>89</v>
      </c>
      <c r="G66" s="21">
        <v>400000.0</v>
      </c>
      <c r="H66" s="23"/>
    </row>
    <row r="67">
      <c r="A67" s="19">
        <v>5.0</v>
      </c>
      <c r="B67" s="20"/>
      <c r="C67" s="19">
        <v>2.0</v>
      </c>
      <c r="D67" s="22" t="s">
        <v>602</v>
      </c>
      <c r="E67" s="25" t="s">
        <v>188</v>
      </c>
      <c r="F67" s="22" t="s">
        <v>89</v>
      </c>
      <c r="G67" s="21">
        <v>150000.0</v>
      </c>
      <c r="H67" s="23"/>
    </row>
    <row r="68">
      <c r="A68" s="19">
        <v>5.0</v>
      </c>
      <c r="B68" s="20"/>
      <c r="C68" s="19">
        <v>2.0</v>
      </c>
      <c r="D68" s="22" t="s">
        <v>607</v>
      </c>
      <c r="E68" s="25" t="s">
        <v>607</v>
      </c>
      <c r="F68" s="22" t="s">
        <v>89</v>
      </c>
      <c r="G68" s="21">
        <v>1.504E7</v>
      </c>
      <c r="H68" s="23"/>
    </row>
    <row r="69">
      <c r="A69" s="19">
        <v>5.0</v>
      </c>
      <c r="B69" s="20"/>
      <c r="C69" s="19">
        <v>2.0</v>
      </c>
      <c r="D69" s="22" t="s">
        <v>237</v>
      </c>
      <c r="E69" s="25" t="s">
        <v>237</v>
      </c>
      <c r="F69" s="22" t="s">
        <v>89</v>
      </c>
      <c r="G69" s="21">
        <v>1.24E7</v>
      </c>
      <c r="H69" s="23"/>
    </row>
    <row r="70">
      <c r="A70" s="19">
        <v>5.0</v>
      </c>
      <c r="B70" s="20"/>
      <c r="C70" s="19">
        <v>2.0</v>
      </c>
      <c r="D70" s="22" t="s">
        <v>239</v>
      </c>
      <c r="E70" s="25" t="s">
        <v>239</v>
      </c>
      <c r="F70" s="22" t="s">
        <v>89</v>
      </c>
      <c r="G70" s="21">
        <v>6500000.0</v>
      </c>
      <c r="H70" s="23"/>
    </row>
    <row r="71">
      <c r="A71" s="19">
        <v>5.0</v>
      </c>
      <c r="B71" s="20"/>
      <c r="C71" s="19">
        <v>2.0</v>
      </c>
      <c r="D71" s="22" t="s">
        <v>613</v>
      </c>
      <c r="E71" s="25" t="s">
        <v>936</v>
      </c>
      <c r="F71" s="22" t="s">
        <v>89</v>
      </c>
      <c r="G71" s="21">
        <v>3250000.0</v>
      </c>
      <c r="H71" s="23"/>
    </row>
    <row r="72">
      <c r="A72" s="19">
        <v>5.0</v>
      </c>
      <c r="B72" s="20"/>
      <c r="C72" s="19">
        <v>2.0</v>
      </c>
      <c r="D72" s="22" t="s">
        <v>613</v>
      </c>
      <c r="E72" s="25" t="s">
        <v>935</v>
      </c>
      <c r="F72" s="22" t="s">
        <v>89</v>
      </c>
      <c r="G72" s="21">
        <v>3640000.0</v>
      </c>
      <c r="H72" s="23"/>
    </row>
    <row r="73">
      <c r="A73" s="19">
        <v>6.0</v>
      </c>
      <c r="B73" s="20"/>
      <c r="C73" s="19">
        <v>1.0</v>
      </c>
      <c r="D73" s="22" t="s">
        <v>602</v>
      </c>
      <c r="E73" s="25" t="s">
        <v>169</v>
      </c>
      <c r="F73" s="22" t="s">
        <v>95</v>
      </c>
      <c r="G73" s="21">
        <v>1670000.0</v>
      </c>
      <c r="H73" s="23"/>
    </row>
    <row r="74">
      <c r="A74" s="19">
        <v>6.0</v>
      </c>
      <c r="B74" s="20"/>
      <c r="C74" s="19">
        <v>1.0</v>
      </c>
      <c r="D74" s="22" t="s">
        <v>602</v>
      </c>
      <c r="E74" s="25" t="s">
        <v>176</v>
      </c>
      <c r="F74" s="22" t="s">
        <v>95</v>
      </c>
      <c r="G74" s="21">
        <v>2840000.0</v>
      </c>
      <c r="H74" s="23"/>
    </row>
    <row r="75">
      <c r="A75" s="19">
        <v>6.0</v>
      </c>
      <c r="B75" s="20"/>
      <c r="C75" s="19">
        <v>1.0</v>
      </c>
      <c r="D75" s="22" t="s">
        <v>602</v>
      </c>
      <c r="E75" s="25" t="s">
        <v>183</v>
      </c>
      <c r="F75" s="22" t="s">
        <v>95</v>
      </c>
      <c r="G75" s="21">
        <v>400000.0</v>
      </c>
      <c r="H75" s="23"/>
    </row>
    <row r="76">
      <c r="A76" s="19">
        <v>6.0</v>
      </c>
      <c r="B76" s="20"/>
      <c r="C76" s="19">
        <v>1.0</v>
      </c>
      <c r="D76" s="22" t="s">
        <v>602</v>
      </c>
      <c r="E76" s="25" t="s">
        <v>188</v>
      </c>
      <c r="F76" s="22" t="s">
        <v>95</v>
      </c>
      <c r="G76" s="21">
        <v>150000.0</v>
      </c>
      <c r="H76" s="23"/>
    </row>
    <row r="77">
      <c r="A77" s="19">
        <v>6.0</v>
      </c>
      <c r="B77" s="20"/>
      <c r="C77" s="19">
        <v>1.0</v>
      </c>
      <c r="D77" s="22" t="s">
        <v>239</v>
      </c>
      <c r="E77" s="25" t="s">
        <v>239</v>
      </c>
      <c r="F77" s="22" t="s">
        <v>95</v>
      </c>
      <c r="G77" s="21">
        <v>4850000.0</v>
      </c>
      <c r="H77" s="23"/>
    </row>
    <row r="78">
      <c r="A78" s="19">
        <v>6.0</v>
      </c>
      <c r="B78" s="20"/>
      <c r="C78" s="19">
        <v>1.0</v>
      </c>
      <c r="D78" s="22" t="s">
        <v>602</v>
      </c>
      <c r="E78" s="25" t="s">
        <v>243</v>
      </c>
      <c r="F78" s="22" t="s">
        <v>95</v>
      </c>
      <c r="G78" s="21">
        <v>250000.0</v>
      </c>
      <c r="H78" s="23"/>
    </row>
    <row r="79">
      <c r="A79" s="19">
        <v>6.0</v>
      </c>
      <c r="B79" s="20"/>
      <c r="C79" s="19">
        <v>1.0</v>
      </c>
      <c r="D79" s="22" t="s">
        <v>613</v>
      </c>
      <c r="E79" s="25" t="s">
        <v>935</v>
      </c>
      <c r="F79" s="22" t="s">
        <v>95</v>
      </c>
      <c r="G79" s="21">
        <v>2125000.0</v>
      </c>
      <c r="H79" s="23"/>
    </row>
    <row r="80">
      <c r="A80" s="19">
        <v>6.0</v>
      </c>
      <c r="B80" s="20"/>
      <c r="C80" s="19">
        <v>2.0</v>
      </c>
      <c r="D80" s="22" t="s">
        <v>602</v>
      </c>
      <c r="E80" s="25" t="s">
        <v>169</v>
      </c>
      <c r="F80" s="22" t="s">
        <v>101</v>
      </c>
      <c r="G80" s="21">
        <v>1464000.0</v>
      </c>
      <c r="H80" s="23"/>
    </row>
    <row r="81">
      <c r="A81" s="19">
        <v>6.0</v>
      </c>
      <c r="B81" s="20"/>
      <c r="C81" s="19">
        <v>2.0</v>
      </c>
      <c r="D81" s="22" t="s">
        <v>602</v>
      </c>
      <c r="E81" s="25" t="s">
        <v>176</v>
      </c>
      <c r="F81" s="22" t="s">
        <v>101</v>
      </c>
      <c r="G81" s="21">
        <v>2495000.0</v>
      </c>
      <c r="H81" s="23"/>
    </row>
    <row r="82">
      <c r="A82" s="19">
        <v>6.0</v>
      </c>
      <c r="B82" s="20"/>
      <c r="C82" s="19">
        <v>2.0</v>
      </c>
      <c r="D82" s="22" t="s">
        <v>602</v>
      </c>
      <c r="E82" s="25" t="s">
        <v>183</v>
      </c>
      <c r="F82" s="22" t="s">
        <v>101</v>
      </c>
      <c r="G82" s="21">
        <v>400000.0</v>
      </c>
      <c r="H82" s="23"/>
    </row>
    <row r="83">
      <c r="A83" s="19">
        <v>6.0</v>
      </c>
      <c r="B83" s="20"/>
      <c r="C83" s="19">
        <v>2.0</v>
      </c>
      <c r="D83" s="22" t="s">
        <v>602</v>
      </c>
      <c r="E83" s="25" t="s">
        <v>188</v>
      </c>
      <c r="F83" s="22" t="s">
        <v>101</v>
      </c>
      <c r="G83" s="21">
        <v>150000.0</v>
      </c>
      <c r="H83" s="23"/>
    </row>
    <row r="84">
      <c r="A84" s="19">
        <v>6.0</v>
      </c>
      <c r="B84" s="20"/>
      <c r="C84" s="19">
        <v>2.0</v>
      </c>
      <c r="D84" s="22" t="s">
        <v>602</v>
      </c>
      <c r="E84" s="25" t="s">
        <v>243</v>
      </c>
      <c r="F84" s="22" t="s">
        <v>101</v>
      </c>
      <c r="G84" s="21">
        <v>750000.0</v>
      </c>
      <c r="H84" s="23"/>
    </row>
    <row r="85">
      <c r="A85" s="19">
        <v>6.0</v>
      </c>
      <c r="B85" s="20"/>
      <c r="C85" s="19">
        <v>2.0</v>
      </c>
      <c r="D85" s="22" t="s">
        <v>239</v>
      </c>
      <c r="E85" s="25" t="s">
        <v>239</v>
      </c>
      <c r="F85" s="22" t="s">
        <v>101</v>
      </c>
      <c r="G85" s="21">
        <v>1960000.0</v>
      </c>
      <c r="H85" s="23"/>
    </row>
    <row r="86">
      <c r="A86" s="19">
        <v>6.0</v>
      </c>
      <c r="B86" s="20"/>
      <c r="C86" s="19">
        <v>2.0</v>
      </c>
      <c r="D86" s="22" t="s">
        <v>237</v>
      </c>
      <c r="E86" s="25" t="s">
        <v>237</v>
      </c>
      <c r="F86" s="22" t="s">
        <v>101</v>
      </c>
      <c r="G86" s="21">
        <v>6800000.0</v>
      </c>
      <c r="H86" s="23"/>
    </row>
    <row r="87">
      <c r="A87" s="19">
        <v>6.0</v>
      </c>
      <c r="B87" s="20"/>
      <c r="C87" s="19">
        <v>2.0</v>
      </c>
      <c r="D87" s="22" t="s">
        <v>613</v>
      </c>
      <c r="E87" s="25" t="s">
        <v>935</v>
      </c>
      <c r="F87" s="22" t="s">
        <v>101</v>
      </c>
      <c r="G87" s="21">
        <v>7180000.0</v>
      </c>
      <c r="H87" s="23"/>
    </row>
    <row r="88">
      <c r="A88" s="19">
        <v>6.0</v>
      </c>
      <c r="B88" s="20"/>
      <c r="C88" s="19">
        <v>2.0</v>
      </c>
      <c r="D88" s="22" t="s">
        <v>610</v>
      </c>
      <c r="E88" s="25" t="s">
        <v>938</v>
      </c>
      <c r="F88" s="22" t="s">
        <v>101</v>
      </c>
      <c r="G88" s="21">
        <v>4500000.0</v>
      </c>
      <c r="H88" s="23"/>
    </row>
    <row r="89">
      <c r="A89" s="19">
        <v>6.0</v>
      </c>
      <c r="B89" s="20"/>
      <c r="C89" s="19">
        <v>2.0</v>
      </c>
      <c r="D89" s="22" t="s">
        <v>613</v>
      </c>
      <c r="E89" s="25" t="s">
        <v>936</v>
      </c>
      <c r="F89" s="22" t="s">
        <v>101</v>
      </c>
      <c r="G89" s="21">
        <v>3000000.0</v>
      </c>
      <c r="H89" s="23"/>
    </row>
    <row r="90">
      <c r="A90" s="19">
        <v>7.0</v>
      </c>
      <c r="B90" s="20"/>
      <c r="C90" s="19">
        <v>1.0</v>
      </c>
      <c r="D90" s="22" t="s">
        <v>602</v>
      </c>
      <c r="E90" s="25" t="s">
        <v>169</v>
      </c>
      <c r="F90" s="22" t="s">
        <v>109</v>
      </c>
      <c r="G90" s="21">
        <v>1272000.0</v>
      </c>
      <c r="H90" s="23"/>
    </row>
    <row r="91">
      <c r="A91" s="19">
        <v>7.0</v>
      </c>
      <c r="B91" s="20"/>
      <c r="C91" s="19">
        <v>1.0</v>
      </c>
      <c r="D91" s="22" t="s">
        <v>602</v>
      </c>
      <c r="E91" s="25" t="s">
        <v>176</v>
      </c>
      <c r="F91" s="22" t="s">
        <v>109</v>
      </c>
      <c r="G91" s="21">
        <v>2162000.0</v>
      </c>
      <c r="H91" s="23"/>
    </row>
    <row r="92">
      <c r="A92" s="19">
        <v>7.0</v>
      </c>
      <c r="B92" s="20"/>
      <c r="C92" s="19">
        <v>1.0</v>
      </c>
      <c r="D92" s="22" t="s">
        <v>602</v>
      </c>
      <c r="E92" s="25" t="s">
        <v>183</v>
      </c>
      <c r="F92" s="22" t="s">
        <v>109</v>
      </c>
      <c r="G92" s="21">
        <v>300000.0</v>
      </c>
      <c r="H92" s="23"/>
    </row>
    <row r="93">
      <c r="A93" s="19">
        <v>7.0</v>
      </c>
      <c r="B93" s="20"/>
      <c r="C93" s="19">
        <v>1.0</v>
      </c>
      <c r="D93" s="22" t="s">
        <v>602</v>
      </c>
      <c r="E93" s="25" t="s">
        <v>188</v>
      </c>
      <c r="F93" s="22" t="s">
        <v>109</v>
      </c>
      <c r="G93" s="21">
        <v>150000.0</v>
      </c>
      <c r="H93" s="23"/>
    </row>
    <row r="94">
      <c r="A94" s="19">
        <v>7.0</v>
      </c>
      <c r="B94" s="20"/>
      <c r="C94" s="19">
        <v>1.0</v>
      </c>
      <c r="D94" s="22" t="s">
        <v>602</v>
      </c>
      <c r="E94" s="25" t="s">
        <v>243</v>
      </c>
      <c r="F94" s="22" t="s">
        <v>109</v>
      </c>
      <c r="G94" s="21">
        <v>750000.0</v>
      </c>
      <c r="H94" s="23"/>
    </row>
    <row r="95">
      <c r="A95" s="19">
        <v>7.0</v>
      </c>
      <c r="B95" s="20"/>
      <c r="C95" s="19">
        <v>1.0</v>
      </c>
      <c r="D95" s="22" t="s">
        <v>239</v>
      </c>
      <c r="E95" s="25" t="s">
        <v>239</v>
      </c>
      <c r="F95" s="22" t="s">
        <v>109</v>
      </c>
      <c r="G95" s="21">
        <v>3860000.0</v>
      </c>
      <c r="H95" s="23"/>
    </row>
    <row r="96">
      <c r="A96" s="19">
        <v>7.0</v>
      </c>
      <c r="B96" s="20"/>
      <c r="C96" s="19">
        <v>1.0</v>
      </c>
      <c r="D96" s="22" t="s">
        <v>607</v>
      </c>
      <c r="E96" s="25" t="s">
        <v>607</v>
      </c>
      <c r="F96" s="22" t="s">
        <v>109</v>
      </c>
      <c r="G96" s="21">
        <v>8250000.0</v>
      </c>
      <c r="H96" s="23"/>
    </row>
    <row r="97">
      <c r="A97" s="19">
        <v>7.0</v>
      </c>
      <c r="B97" s="20"/>
      <c r="C97" s="19">
        <v>1.0</v>
      </c>
      <c r="D97" s="22" t="s">
        <v>613</v>
      </c>
      <c r="E97" s="25" t="s">
        <v>935</v>
      </c>
      <c r="F97" s="22" t="s">
        <v>109</v>
      </c>
      <c r="G97" s="21">
        <v>3790000.0</v>
      </c>
      <c r="H97" s="23"/>
    </row>
    <row r="98">
      <c r="A98" s="19">
        <v>7.0</v>
      </c>
      <c r="B98" s="20"/>
      <c r="C98" s="19">
        <v>2.0</v>
      </c>
      <c r="D98" s="22" t="s">
        <v>602</v>
      </c>
      <c r="E98" s="25" t="s">
        <v>169</v>
      </c>
      <c r="F98" s="22" t="s">
        <v>922</v>
      </c>
      <c r="G98" s="21">
        <v>1548000.0</v>
      </c>
      <c r="H98" s="23"/>
    </row>
    <row r="99">
      <c r="A99" s="19">
        <v>7.0</v>
      </c>
      <c r="B99" s="20"/>
      <c r="C99" s="19">
        <v>2.0</v>
      </c>
      <c r="D99" s="22" t="s">
        <v>602</v>
      </c>
      <c r="E99" s="25" t="s">
        <v>176</v>
      </c>
      <c r="F99" s="22" t="s">
        <v>922</v>
      </c>
      <c r="G99" s="21">
        <v>2380000.0</v>
      </c>
      <c r="H99" s="23"/>
    </row>
    <row r="100">
      <c r="A100" s="19">
        <v>7.0</v>
      </c>
      <c r="B100" s="20"/>
      <c r="C100" s="19">
        <v>2.0</v>
      </c>
      <c r="D100" s="22" t="s">
        <v>602</v>
      </c>
      <c r="E100" s="25" t="s">
        <v>183</v>
      </c>
      <c r="F100" s="22" t="s">
        <v>922</v>
      </c>
      <c r="G100" s="21">
        <v>300000.0</v>
      </c>
      <c r="H100" s="23"/>
    </row>
    <row r="101">
      <c r="A101" s="19">
        <v>7.0</v>
      </c>
      <c r="B101" s="20"/>
      <c r="C101" s="19">
        <v>2.0</v>
      </c>
      <c r="D101" s="22" t="s">
        <v>602</v>
      </c>
      <c r="E101" s="25" t="s">
        <v>188</v>
      </c>
      <c r="F101" s="22" t="s">
        <v>922</v>
      </c>
      <c r="G101" s="21">
        <v>100000.0</v>
      </c>
      <c r="H101" s="23"/>
    </row>
    <row r="102">
      <c r="A102" s="19">
        <v>7.0</v>
      </c>
      <c r="B102" s="20"/>
      <c r="C102" s="19">
        <v>2.0</v>
      </c>
      <c r="D102" s="22" t="s">
        <v>602</v>
      </c>
      <c r="E102" s="25" t="s">
        <v>243</v>
      </c>
      <c r="F102" s="22" t="s">
        <v>922</v>
      </c>
      <c r="G102" s="21">
        <v>500000.0</v>
      </c>
      <c r="H102" s="23"/>
    </row>
    <row r="103">
      <c r="A103" s="19">
        <v>7.0</v>
      </c>
      <c r="B103" s="20"/>
      <c r="C103" s="19">
        <v>2.0</v>
      </c>
      <c r="D103" s="22" t="s">
        <v>237</v>
      </c>
      <c r="E103" s="25" t="s">
        <v>237</v>
      </c>
      <c r="F103" s="22" t="s">
        <v>922</v>
      </c>
      <c r="G103" s="21">
        <v>1.4E7</v>
      </c>
      <c r="H103" s="23"/>
    </row>
    <row r="104">
      <c r="A104" s="19">
        <v>7.0</v>
      </c>
      <c r="B104" s="20"/>
      <c r="C104" s="19">
        <v>2.0</v>
      </c>
      <c r="D104" s="22" t="s">
        <v>239</v>
      </c>
      <c r="E104" s="25" t="s">
        <v>239</v>
      </c>
      <c r="F104" s="22" t="s">
        <v>922</v>
      </c>
      <c r="G104" s="21">
        <v>1.1E7</v>
      </c>
      <c r="H104" s="23"/>
    </row>
    <row r="105">
      <c r="A105" s="19">
        <v>7.0</v>
      </c>
      <c r="B105" s="20"/>
      <c r="C105" s="19">
        <v>2.0</v>
      </c>
      <c r="D105" s="22" t="s">
        <v>613</v>
      </c>
      <c r="E105" s="25" t="s">
        <v>935</v>
      </c>
      <c r="F105" s="22" t="s">
        <v>922</v>
      </c>
      <c r="G105" s="21">
        <v>2780000.0</v>
      </c>
      <c r="H105" s="23"/>
    </row>
    <row r="106">
      <c r="A106" s="19">
        <v>7.0</v>
      </c>
      <c r="B106" s="20"/>
      <c r="C106" s="19">
        <v>2.0</v>
      </c>
      <c r="D106" s="22" t="s">
        <v>613</v>
      </c>
      <c r="E106" s="25" t="s">
        <v>936</v>
      </c>
      <c r="F106" s="22" t="s">
        <v>922</v>
      </c>
      <c r="G106" s="21">
        <v>3000000.0</v>
      </c>
      <c r="H106" s="23"/>
    </row>
    <row r="107">
      <c r="A107" s="19">
        <v>8.0</v>
      </c>
      <c r="B107" s="20"/>
      <c r="C107" s="19">
        <v>1.0</v>
      </c>
      <c r="D107" s="22" t="s">
        <v>602</v>
      </c>
      <c r="E107" s="25" t="s">
        <v>169</v>
      </c>
      <c r="F107" s="22" t="s">
        <v>923</v>
      </c>
      <c r="G107" s="21">
        <v>1076000.0</v>
      </c>
      <c r="H107" s="23"/>
    </row>
    <row r="108">
      <c r="A108" s="19">
        <v>8.0</v>
      </c>
      <c r="B108" s="20"/>
      <c r="C108" s="19">
        <v>1.0</v>
      </c>
      <c r="D108" s="22" t="s">
        <v>602</v>
      </c>
      <c r="E108" s="25" t="s">
        <v>176</v>
      </c>
      <c r="F108" s="22" t="s">
        <v>923</v>
      </c>
      <c r="G108" s="21">
        <v>1829000.0</v>
      </c>
      <c r="H108" s="23"/>
    </row>
    <row r="109">
      <c r="A109" s="19">
        <v>8.0</v>
      </c>
      <c r="B109" s="20"/>
      <c r="C109" s="19">
        <v>1.0</v>
      </c>
      <c r="D109" s="22" t="s">
        <v>602</v>
      </c>
      <c r="E109" s="25" t="s">
        <v>183</v>
      </c>
      <c r="F109" s="22" t="s">
        <v>923</v>
      </c>
      <c r="G109" s="21">
        <v>300000.0</v>
      </c>
      <c r="H109" s="23"/>
    </row>
    <row r="110">
      <c r="A110" s="19">
        <v>8.0</v>
      </c>
      <c r="B110" s="20"/>
      <c r="C110" s="19">
        <v>1.0</v>
      </c>
      <c r="D110" s="22" t="s">
        <v>602</v>
      </c>
      <c r="E110" s="25" t="s">
        <v>188</v>
      </c>
      <c r="F110" s="22" t="s">
        <v>923</v>
      </c>
      <c r="G110" s="21">
        <v>100000.0</v>
      </c>
      <c r="H110" s="23"/>
    </row>
    <row r="111">
      <c r="A111" s="19">
        <v>8.0</v>
      </c>
      <c r="B111" s="20"/>
      <c r="C111" s="19">
        <v>1.0</v>
      </c>
      <c r="D111" s="22" t="s">
        <v>239</v>
      </c>
      <c r="E111" s="25" t="s">
        <v>239</v>
      </c>
      <c r="F111" s="22" t="s">
        <v>923</v>
      </c>
      <c r="G111" s="21">
        <v>2800000.0</v>
      </c>
      <c r="H111" s="23"/>
    </row>
    <row r="112">
      <c r="A112" s="19">
        <v>8.0</v>
      </c>
      <c r="B112" s="20"/>
      <c r="C112" s="19">
        <v>1.0</v>
      </c>
      <c r="D112" s="22" t="s">
        <v>237</v>
      </c>
      <c r="E112" s="25" t="s">
        <v>237</v>
      </c>
      <c r="F112" s="22" t="s">
        <v>923</v>
      </c>
      <c r="G112" s="21">
        <v>7400000.0</v>
      </c>
      <c r="H112" s="23"/>
    </row>
    <row r="113">
      <c r="A113" s="19">
        <v>8.0</v>
      </c>
      <c r="B113" s="20"/>
      <c r="C113" s="19">
        <v>1.0</v>
      </c>
      <c r="D113" s="22" t="s">
        <v>613</v>
      </c>
      <c r="E113" s="25" t="s">
        <v>936</v>
      </c>
      <c r="F113" s="22" t="s">
        <v>923</v>
      </c>
      <c r="G113" s="21">
        <v>3000000.0</v>
      </c>
      <c r="H113" s="23"/>
    </row>
    <row r="114">
      <c r="A114" s="19">
        <v>8.0</v>
      </c>
      <c r="B114" s="20"/>
      <c r="C114" s="19">
        <v>1.0</v>
      </c>
      <c r="D114" s="22" t="s">
        <v>613</v>
      </c>
      <c r="E114" s="25" t="s">
        <v>935</v>
      </c>
      <c r="F114" s="22" t="s">
        <v>923</v>
      </c>
      <c r="G114" s="21">
        <v>2273000.0</v>
      </c>
      <c r="H114" s="23"/>
    </row>
    <row r="115">
      <c r="A115" s="19">
        <v>8.0</v>
      </c>
      <c r="B115" s="20"/>
      <c r="C115" s="19">
        <v>2.0</v>
      </c>
      <c r="D115" s="22" t="s">
        <v>602</v>
      </c>
      <c r="E115" s="25" t="s">
        <v>169</v>
      </c>
      <c r="F115" s="22" t="s">
        <v>924</v>
      </c>
      <c r="G115" s="21">
        <v>847000.0</v>
      </c>
      <c r="H115" s="23"/>
    </row>
    <row r="116">
      <c r="A116" s="19">
        <v>8.0</v>
      </c>
      <c r="B116" s="20"/>
      <c r="C116" s="19">
        <v>2.0</v>
      </c>
      <c r="D116" s="22" t="s">
        <v>602</v>
      </c>
      <c r="E116" s="25" t="s">
        <v>176</v>
      </c>
      <c r="F116" s="22" t="s">
        <v>924</v>
      </c>
      <c r="G116" s="21">
        <v>1693000.0</v>
      </c>
      <c r="H116" s="23"/>
    </row>
    <row r="117">
      <c r="A117" s="19">
        <v>8.0</v>
      </c>
      <c r="B117" s="20"/>
      <c r="C117" s="19">
        <v>2.0</v>
      </c>
      <c r="D117" s="22" t="s">
        <v>602</v>
      </c>
      <c r="E117" s="25" t="s">
        <v>183</v>
      </c>
      <c r="F117" s="22" t="s">
        <v>924</v>
      </c>
      <c r="G117" s="21">
        <v>300000.0</v>
      </c>
      <c r="H117" s="23"/>
    </row>
    <row r="118">
      <c r="A118" s="19">
        <v>8.0</v>
      </c>
      <c r="B118" s="20"/>
      <c r="C118" s="19">
        <v>2.0</v>
      </c>
      <c r="D118" s="22" t="s">
        <v>602</v>
      </c>
      <c r="E118" s="25" t="s">
        <v>188</v>
      </c>
      <c r="F118" s="22" t="s">
        <v>924</v>
      </c>
      <c r="G118" s="21">
        <v>100000.0</v>
      </c>
      <c r="H118" s="23"/>
    </row>
    <row r="119">
      <c r="A119" s="19">
        <v>8.0</v>
      </c>
      <c r="B119" s="20"/>
      <c r="C119" s="19">
        <v>2.0</v>
      </c>
      <c r="D119" s="22" t="s">
        <v>602</v>
      </c>
      <c r="E119" s="25" t="s">
        <v>243</v>
      </c>
      <c r="F119" s="22" t="s">
        <v>924</v>
      </c>
      <c r="G119" s="21">
        <v>750000.0</v>
      </c>
      <c r="H119" s="23"/>
    </row>
    <row r="120">
      <c r="A120" s="19">
        <v>8.0</v>
      </c>
      <c r="B120" s="20"/>
      <c r="C120" s="19">
        <v>2.0</v>
      </c>
      <c r="D120" s="22" t="s">
        <v>237</v>
      </c>
      <c r="E120" s="25" t="s">
        <v>237</v>
      </c>
      <c r="F120" s="22" t="s">
        <v>924</v>
      </c>
      <c r="G120" s="21">
        <v>1.23E7</v>
      </c>
      <c r="H120" s="23"/>
    </row>
    <row r="121">
      <c r="A121" s="19">
        <v>8.0</v>
      </c>
      <c r="B121" s="20"/>
      <c r="C121" s="19">
        <v>2.0</v>
      </c>
      <c r="D121" s="22" t="s">
        <v>239</v>
      </c>
      <c r="E121" s="25" t="s">
        <v>239</v>
      </c>
      <c r="F121" s="22" t="s">
        <v>924</v>
      </c>
      <c r="G121" s="21">
        <v>340000.0</v>
      </c>
      <c r="H121" s="23"/>
    </row>
    <row r="122">
      <c r="A122" s="19">
        <v>8.0</v>
      </c>
      <c r="B122" s="20"/>
      <c r="C122" s="19">
        <v>2.0</v>
      </c>
      <c r="D122" s="22" t="s">
        <v>613</v>
      </c>
      <c r="E122" s="25" t="s">
        <v>935</v>
      </c>
      <c r="F122" s="22" t="s">
        <v>924</v>
      </c>
      <c r="G122" s="21">
        <v>1760000.0</v>
      </c>
      <c r="H122" s="23"/>
    </row>
    <row r="123">
      <c r="A123" s="19">
        <v>9.0</v>
      </c>
      <c r="B123" s="20"/>
      <c r="C123" s="19">
        <v>1.0</v>
      </c>
      <c r="D123" s="22" t="s">
        <v>602</v>
      </c>
      <c r="E123" s="25" t="s">
        <v>169</v>
      </c>
      <c r="F123" s="22" t="s">
        <v>925</v>
      </c>
      <c r="G123" s="21">
        <v>1988000.0</v>
      </c>
      <c r="H123" s="23"/>
    </row>
    <row r="124">
      <c r="A124" s="19">
        <v>9.0</v>
      </c>
      <c r="B124" s="20"/>
      <c r="C124" s="19">
        <v>1.0</v>
      </c>
      <c r="D124" s="22" t="s">
        <v>602</v>
      </c>
      <c r="E124" s="25" t="s">
        <v>176</v>
      </c>
      <c r="F124" s="22" t="s">
        <v>925</v>
      </c>
      <c r="G124" s="21">
        <v>2580280.0</v>
      </c>
      <c r="H124" s="23"/>
    </row>
    <row r="125">
      <c r="A125" s="19">
        <v>9.0</v>
      </c>
      <c r="B125" s="20"/>
      <c r="C125" s="19">
        <v>1.0</v>
      </c>
      <c r="D125" s="22" t="s">
        <v>602</v>
      </c>
      <c r="E125" s="25" t="s">
        <v>183</v>
      </c>
      <c r="F125" s="22" t="s">
        <v>925</v>
      </c>
      <c r="G125" s="21">
        <v>300000.0</v>
      </c>
      <c r="H125" s="23"/>
    </row>
    <row r="126">
      <c r="A126" s="19">
        <v>9.0</v>
      </c>
      <c r="B126" s="20"/>
      <c r="C126" s="19">
        <v>1.0</v>
      </c>
      <c r="D126" s="22" t="s">
        <v>602</v>
      </c>
      <c r="E126" s="25" t="s">
        <v>188</v>
      </c>
      <c r="F126" s="22" t="s">
        <v>925</v>
      </c>
      <c r="G126" s="21">
        <v>100000.0</v>
      </c>
      <c r="H126" s="23"/>
    </row>
    <row r="127">
      <c r="A127" s="19">
        <v>9.0</v>
      </c>
      <c r="B127" s="20"/>
      <c r="C127" s="19">
        <v>1.0</v>
      </c>
      <c r="D127" s="22" t="s">
        <v>237</v>
      </c>
      <c r="E127" s="25" t="s">
        <v>237</v>
      </c>
      <c r="F127" s="22" t="s">
        <v>925</v>
      </c>
      <c r="G127" s="21">
        <v>1.2E7</v>
      </c>
      <c r="H127" s="23"/>
    </row>
    <row r="128">
      <c r="A128" s="19">
        <v>9.0</v>
      </c>
      <c r="B128" s="20"/>
      <c r="C128" s="19">
        <v>1.0</v>
      </c>
      <c r="D128" s="22" t="s">
        <v>613</v>
      </c>
      <c r="E128" s="25" t="s">
        <v>935</v>
      </c>
      <c r="F128" s="22" t="s">
        <v>925</v>
      </c>
      <c r="G128" s="21">
        <v>5653000.0</v>
      </c>
      <c r="H128" s="23"/>
    </row>
    <row r="129">
      <c r="A129" s="19">
        <v>9.0</v>
      </c>
      <c r="B129" s="20"/>
      <c r="C129" s="19">
        <v>2.0</v>
      </c>
      <c r="D129" s="22" t="s">
        <v>602</v>
      </c>
      <c r="E129" s="25" t="s">
        <v>169</v>
      </c>
      <c r="F129" s="22" t="s">
        <v>926</v>
      </c>
      <c r="G129" s="21">
        <v>2086000.0</v>
      </c>
      <c r="H129" s="23"/>
    </row>
    <row r="130">
      <c r="A130" s="19">
        <v>9.0</v>
      </c>
      <c r="B130" s="20"/>
      <c r="C130" s="19">
        <v>2.0</v>
      </c>
      <c r="D130" s="22" t="s">
        <v>602</v>
      </c>
      <c r="E130" s="25" t="s">
        <v>176</v>
      </c>
      <c r="F130" s="22" t="s">
        <v>926</v>
      </c>
      <c r="G130" s="21">
        <v>2694810.0</v>
      </c>
      <c r="H130" s="23"/>
    </row>
    <row r="131">
      <c r="A131" s="19">
        <v>9.0</v>
      </c>
      <c r="B131" s="20"/>
      <c r="C131" s="19">
        <v>2.0</v>
      </c>
      <c r="D131" s="22" t="s">
        <v>602</v>
      </c>
      <c r="E131" s="25" t="s">
        <v>183</v>
      </c>
      <c r="F131" s="22" t="s">
        <v>926</v>
      </c>
      <c r="G131" s="21">
        <v>300000.0</v>
      </c>
      <c r="H131" s="23"/>
    </row>
    <row r="132">
      <c r="A132" s="19">
        <v>9.0</v>
      </c>
      <c r="B132" s="20"/>
      <c r="C132" s="19">
        <v>2.0</v>
      </c>
      <c r="D132" s="22" t="s">
        <v>602</v>
      </c>
      <c r="E132" s="25" t="s">
        <v>188</v>
      </c>
      <c r="F132" s="22" t="s">
        <v>926</v>
      </c>
      <c r="G132" s="21">
        <v>100000.0</v>
      </c>
      <c r="H132" s="23"/>
    </row>
    <row r="133">
      <c r="A133" s="19">
        <v>9.0</v>
      </c>
      <c r="B133" s="20"/>
      <c r="C133" s="19">
        <v>2.0</v>
      </c>
      <c r="D133" s="22" t="s">
        <v>237</v>
      </c>
      <c r="E133" s="25" t="s">
        <v>237</v>
      </c>
      <c r="F133" s="22" t="s">
        <v>926</v>
      </c>
      <c r="G133" s="21">
        <v>1.12E7</v>
      </c>
      <c r="H133" s="23"/>
    </row>
    <row r="134">
      <c r="A134" s="19">
        <v>9.0</v>
      </c>
      <c r="B134" s="20"/>
      <c r="C134" s="19">
        <v>2.0</v>
      </c>
      <c r="D134" s="22" t="s">
        <v>239</v>
      </c>
      <c r="E134" s="25" t="s">
        <v>239</v>
      </c>
      <c r="F134" s="22" t="s">
        <v>926</v>
      </c>
      <c r="G134" s="21">
        <v>600000.0</v>
      </c>
      <c r="H134" s="23"/>
    </row>
    <row r="135">
      <c r="A135" s="19">
        <v>9.0</v>
      </c>
      <c r="B135" s="20"/>
      <c r="C135" s="19">
        <v>2.0</v>
      </c>
      <c r="D135" s="22" t="s">
        <v>613</v>
      </c>
      <c r="E135" s="25" t="s">
        <v>936</v>
      </c>
      <c r="F135" s="22" t="s">
        <v>926</v>
      </c>
      <c r="G135" s="21">
        <v>3000000.0</v>
      </c>
      <c r="H135" s="23"/>
    </row>
    <row r="136">
      <c r="A136" s="19">
        <v>9.0</v>
      </c>
      <c r="B136" s="20"/>
      <c r="C136" s="19">
        <v>2.0</v>
      </c>
      <c r="D136" s="22" t="s">
        <v>613</v>
      </c>
      <c r="E136" s="25" t="s">
        <v>935</v>
      </c>
      <c r="F136" s="22" t="s">
        <v>926</v>
      </c>
      <c r="G136" s="21">
        <v>1370000.0</v>
      </c>
      <c r="H136" s="23"/>
    </row>
    <row r="137">
      <c r="A137" s="19">
        <v>10.0</v>
      </c>
      <c r="B137" s="20"/>
      <c r="C137" s="19">
        <v>1.0</v>
      </c>
      <c r="D137" s="22" t="s">
        <v>602</v>
      </c>
      <c r="E137" s="25" t="s">
        <v>169</v>
      </c>
      <c r="F137" s="22" t="s">
        <v>927</v>
      </c>
      <c r="G137" s="21">
        <v>3070000.0</v>
      </c>
      <c r="H137" s="23"/>
    </row>
    <row r="138">
      <c r="A138" s="19">
        <v>10.0</v>
      </c>
      <c r="B138" s="20"/>
      <c r="C138" s="19">
        <v>1.0</v>
      </c>
      <c r="D138" s="22" t="s">
        <v>602</v>
      </c>
      <c r="E138" s="25" t="s">
        <v>176</v>
      </c>
      <c r="F138" s="22" t="s">
        <v>927</v>
      </c>
      <c r="G138" s="21">
        <v>4685000.0</v>
      </c>
      <c r="H138" s="23"/>
    </row>
    <row r="139">
      <c r="A139" s="19">
        <v>10.0</v>
      </c>
      <c r="B139" s="20"/>
      <c r="C139" s="19">
        <v>1.0</v>
      </c>
      <c r="D139" s="22" t="s">
        <v>602</v>
      </c>
      <c r="E139" s="25" t="s">
        <v>183</v>
      </c>
      <c r="F139" s="22" t="s">
        <v>927</v>
      </c>
      <c r="G139" s="21">
        <v>600000.0</v>
      </c>
      <c r="H139" s="23"/>
    </row>
    <row r="140">
      <c r="A140" s="19">
        <v>10.0</v>
      </c>
      <c r="B140" s="20"/>
      <c r="C140" s="19">
        <v>1.0</v>
      </c>
      <c r="D140" s="22" t="s">
        <v>602</v>
      </c>
      <c r="E140" s="25" t="s">
        <v>188</v>
      </c>
      <c r="F140" s="22" t="s">
        <v>927</v>
      </c>
      <c r="G140" s="21">
        <v>200000.0</v>
      </c>
      <c r="H140" s="23"/>
    </row>
    <row r="141">
      <c r="A141" s="19">
        <v>10.0</v>
      </c>
      <c r="B141" s="20"/>
      <c r="C141" s="19">
        <v>1.0</v>
      </c>
      <c r="D141" s="22" t="s">
        <v>602</v>
      </c>
      <c r="E141" s="25" t="s">
        <v>243</v>
      </c>
      <c r="F141" s="22" t="s">
        <v>927</v>
      </c>
      <c r="G141" s="21">
        <v>750000.0</v>
      </c>
      <c r="H141" s="23"/>
    </row>
    <row r="142">
      <c r="A142" s="19">
        <v>10.0</v>
      </c>
      <c r="B142" s="20"/>
      <c r="C142" s="19">
        <v>1.0</v>
      </c>
      <c r="D142" s="22" t="s">
        <v>237</v>
      </c>
      <c r="E142" s="25" t="s">
        <v>237</v>
      </c>
      <c r="F142" s="22" t="s">
        <v>927</v>
      </c>
      <c r="G142" s="21">
        <v>5.5E7</v>
      </c>
      <c r="H142" s="23"/>
    </row>
    <row r="143">
      <c r="A143" s="19">
        <v>10.0</v>
      </c>
      <c r="B143" s="20"/>
      <c r="C143" s="19">
        <v>1.0</v>
      </c>
      <c r="D143" s="22" t="s">
        <v>613</v>
      </c>
      <c r="E143" s="25" t="s">
        <v>935</v>
      </c>
      <c r="F143" s="22" t="s">
        <v>927</v>
      </c>
      <c r="G143" s="21">
        <v>1325000.0</v>
      </c>
      <c r="H143" s="23"/>
    </row>
    <row r="144">
      <c r="A144" s="19">
        <v>10.0</v>
      </c>
      <c r="B144" s="20"/>
      <c r="C144" s="19">
        <v>1.0</v>
      </c>
      <c r="D144" s="22" t="s">
        <v>239</v>
      </c>
      <c r="E144" s="25" t="s">
        <v>239</v>
      </c>
      <c r="F144" s="22" t="s">
        <v>927</v>
      </c>
      <c r="G144" s="21">
        <v>300000.0</v>
      </c>
      <c r="H144" s="23"/>
    </row>
    <row r="145">
      <c r="A145" s="19">
        <v>10.0</v>
      </c>
      <c r="B145" s="20"/>
      <c r="C145" s="19">
        <v>1.0</v>
      </c>
      <c r="D145" s="22" t="s">
        <v>613</v>
      </c>
      <c r="E145" s="25" t="s">
        <v>936</v>
      </c>
      <c r="F145" s="22" t="s">
        <v>927</v>
      </c>
      <c r="G145" s="21">
        <v>3000000.0</v>
      </c>
      <c r="H145" s="23"/>
    </row>
    <row r="146">
      <c r="A146" s="19">
        <v>10.0</v>
      </c>
      <c r="B146" s="20"/>
      <c r="C146" s="19">
        <v>2.0</v>
      </c>
      <c r="D146" s="22" t="s">
        <v>602</v>
      </c>
      <c r="E146" s="25" t="s">
        <v>169</v>
      </c>
      <c r="F146" s="22" t="s">
        <v>928</v>
      </c>
      <c r="G146" s="21">
        <v>3348000.0</v>
      </c>
      <c r="H146" s="23"/>
    </row>
    <row r="147">
      <c r="A147" s="19">
        <v>10.0</v>
      </c>
      <c r="B147" s="20"/>
      <c r="C147" s="19">
        <v>2.0</v>
      </c>
      <c r="D147" s="22" t="s">
        <v>602</v>
      </c>
      <c r="E147" s="25" t="s">
        <v>176</v>
      </c>
      <c r="F147" s="22" t="s">
        <v>928</v>
      </c>
      <c r="G147" s="21">
        <v>6363000.0</v>
      </c>
      <c r="H147" s="23"/>
    </row>
    <row r="148">
      <c r="A148" s="19">
        <v>10.0</v>
      </c>
      <c r="B148" s="20"/>
      <c r="C148" s="19">
        <v>2.0</v>
      </c>
      <c r="D148" s="22" t="s">
        <v>602</v>
      </c>
      <c r="E148" s="25" t="s">
        <v>183</v>
      </c>
      <c r="F148" s="22" t="s">
        <v>928</v>
      </c>
      <c r="G148" s="21">
        <v>800000.0</v>
      </c>
      <c r="H148" s="23"/>
    </row>
    <row r="149">
      <c r="A149" s="19">
        <v>10.0</v>
      </c>
      <c r="B149" s="20"/>
      <c r="C149" s="19">
        <v>2.0</v>
      </c>
      <c r="D149" s="22" t="s">
        <v>602</v>
      </c>
      <c r="E149" s="25" t="s">
        <v>188</v>
      </c>
      <c r="F149" s="22" t="s">
        <v>928</v>
      </c>
      <c r="G149" s="21">
        <v>300000.0</v>
      </c>
      <c r="H149" s="23"/>
    </row>
    <row r="150">
      <c r="A150" s="19">
        <v>10.0</v>
      </c>
      <c r="B150" s="20"/>
      <c r="C150" s="19">
        <v>2.0</v>
      </c>
      <c r="D150" s="22" t="s">
        <v>237</v>
      </c>
      <c r="E150" s="25" t="s">
        <v>237</v>
      </c>
      <c r="F150" s="22" t="s">
        <v>928</v>
      </c>
      <c r="G150" s="21">
        <v>3.0E7</v>
      </c>
      <c r="H150" s="23"/>
    </row>
    <row r="151">
      <c r="A151" s="19">
        <v>10.0</v>
      </c>
      <c r="B151" s="20"/>
      <c r="C151" s="19">
        <v>2.0</v>
      </c>
      <c r="D151" s="22" t="s">
        <v>610</v>
      </c>
      <c r="E151" s="25" t="s">
        <v>938</v>
      </c>
      <c r="F151" s="22" t="s">
        <v>928</v>
      </c>
      <c r="G151" s="21">
        <v>1.667E7</v>
      </c>
      <c r="H151" s="23"/>
    </row>
    <row r="152">
      <c r="A152" s="19">
        <v>10.0</v>
      </c>
      <c r="B152" s="20"/>
      <c r="C152" s="19">
        <v>2.0</v>
      </c>
      <c r="D152" s="22" t="s">
        <v>793</v>
      </c>
      <c r="E152" s="25" t="s">
        <v>793</v>
      </c>
      <c r="F152" s="22" t="s">
        <v>928</v>
      </c>
      <c r="G152" s="21">
        <v>6450000.0</v>
      </c>
      <c r="H152" s="23"/>
    </row>
    <row r="153">
      <c r="A153" s="19">
        <v>10.0</v>
      </c>
      <c r="B153" s="20"/>
      <c r="C153" s="19">
        <v>2.0</v>
      </c>
      <c r="D153" s="22" t="s">
        <v>248</v>
      </c>
      <c r="E153" s="25" t="s">
        <v>248</v>
      </c>
      <c r="F153" s="22" t="s">
        <v>928</v>
      </c>
      <c r="G153" s="21">
        <v>927000.0</v>
      </c>
      <c r="H153" s="23"/>
    </row>
    <row r="154">
      <c r="A154" s="19">
        <v>10.0</v>
      </c>
      <c r="B154" s="20"/>
      <c r="C154" s="19">
        <v>2.0</v>
      </c>
      <c r="D154" s="22" t="s">
        <v>613</v>
      </c>
      <c r="E154" s="25" t="s">
        <v>940</v>
      </c>
      <c r="F154" s="22" t="s">
        <v>928</v>
      </c>
      <c r="G154" s="21">
        <v>4000000.0</v>
      </c>
      <c r="H154" s="23"/>
    </row>
    <row r="155">
      <c r="A155" s="19">
        <v>10.0</v>
      </c>
      <c r="B155" s="20"/>
      <c r="C155" s="19">
        <v>2.0</v>
      </c>
      <c r="D155" s="22" t="s">
        <v>239</v>
      </c>
      <c r="E155" s="25" t="s">
        <v>239</v>
      </c>
      <c r="F155" s="22" t="s">
        <v>928</v>
      </c>
      <c r="G155" s="21">
        <v>380000.0</v>
      </c>
      <c r="H155" s="23"/>
    </row>
    <row r="156">
      <c r="A156" s="19">
        <v>10.0</v>
      </c>
      <c r="B156" s="20"/>
      <c r="C156" s="19">
        <v>2.0</v>
      </c>
      <c r="D156" s="22" t="s">
        <v>613</v>
      </c>
      <c r="E156" s="25" t="s">
        <v>935</v>
      </c>
      <c r="F156" s="22" t="s">
        <v>928</v>
      </c>
      <c r="G156" s="21">
        <v>3455500.0</v>
      </c>
      <c r="H156" s="23"/>
    </row>
    <row r="157">
      <c r="A157" s="19">
        <v>11.0</v>
      </c>
      <c r="B157" s="20"/>
      <c r="C157" s="19">
        <v>1.0</v>
      </c>
      <c r="D157" s="22" t="s">
        <v>602</v>
      </c>
      <c r="E157" s="25" t="s">
        <v>169</v>
      </c>
      <c r="F157" s="22" t="s">
        <v>929</v>
      </c>
      <c r="G157" s="21">
        <v>1495000.0</v>
      </c>
      <c r="H157" s="23"/>
    </row>
    <row r="158">
      <c r="A158" s="19">
        <v>11.0</v>
      </c>
      <c r="B158" s="20"/>
      <c r="C158" s="19">
        <v>1.0</v>
      </c>
      <c r="D158" s="22" t="s">
        <v>602</v>
      </c>
      <c r="E158" s="25" t="s">
        <v>176</v>
      </c>
      <c r="F158" s="22" t="s">
        <v>929</v>
      </c>
      <c r="G158" s="21">
        <v>3225000.0</v>
      </c>
      <c r="H158" s="23"/>
    </row>
    <row r="159">
      <c r="A159" s="19">
        <v>11.0</v>
      </c>
      <c r="B159" s="20"/>
      <c r="C159" s="19">
        <v>1.0</v>
      </c>
      <c r="D159" s="22" t="s">
        <v>602</v>
      </c>
      <c r="E159" s="25" t="s">
        <v>183</v>
      </c>
      <c r="F159" s="22" t="s">
        <v>929</v>
      </c>
      <c r="G159" s="21">
        <v>400000.0</v>
      </c>
      <c r="H159" s="23"/>
    </row>
    <row r="160">
      <c r="A160" s="19">
        <v>11.0</v>
      </c>
      <c r="B160" s="20"/>
      <c r="C160" s="19">
        <v>1.0</v>
      </c>
      <c r="D160" s="22" t="s">
        <v>602</v>
      </c>
      <c r="E160" s="25" t="s">
        <v>188</v>
      </c>
      <c r="F160" s="22" t="s">
        <v>929</v>
      </c>
      <c r="G160" s="21">
        <v>150000.0</v>
      </c>
      <c r="H160" s="23"/>
    </row>
    <row r="161">
      <c r="A161" s="19">
        <v>11.0</v>
      </c>
      <c r="B161" s="20"/>
      <c r="C161" s="19">
        <v>1.0</v>
      </c>
      <c r="D161" s="22" t="s">
        <v>602</v>
      </c>
      <c r="E161" s="25" t="s">
        <v>243</v>
      </c>
      <c r="F161" s="22" t="s">
        <v>929</v>
      </c>
      <c r="G161" s="21">
        <v>1000000.0</v>
      </c>
      <c r="H161" s="23"/>
    </row>
    <row r="162">
      <c r="A162" s="19">
        <v>11.0</v>
      </c>
      <c r="B162" s="20"/>
      <c r="C162" s="19">
        <v>1.0</v>
      </c>
      <c r="D162" s="22" t="s">
        <v>237</v>
      </c>
      <c r="E162" s="25" t="s">
        <v>237</v>
      </c>
      <c r="F162" s="22" t="s">
        <v>929</v>
      </c>
      <c r="G162" s="21">
        <v>3000000.0</v>
      </c>
      <c r="H162" s="23"/>
    </row>
    <row r="163">
      <c r="A163" s="19">
        <v>11.0</v>
      </c>
      <c r="B163" s="20"/>
      <c r="C163" s="19">
        <v>1.0</v>
      </c>
      <c r="D163" s="22" t="s">
        <v>607</v>
      </c>
      <c r="E163" s="25" t="s">
        <v>270</v>
      </c>
      <c r="F163" s="22" t="s">
        <v>941</v>
      </c>
      <c r="G163" s="21">
        <v>7450000.0</v>
      </c>
      <c r="H163" s="23"/>
    </row>
    <row r="164">
      <c r="A164" s="19">
        <v>11.0</v>
      </c>
      <c r="B164" s="20"/>
      <c r="C164" s="19">
        <v>1.0</v>
      </c>
      <c r="D164" s="22" t="s">
        <v>613</v>
      </c>
      <c r="E164" s="25" t="s">
        <v>936</v>
      </c>
      <c r="F164" s="22" t="s">
        <v>929</v>
      </c>
      <c r="G164" s="21">
        <v>3000000.0</v>
      </c>
      <c r="H164" s="23"/>
    </row>
    <row r="165">
      <c r="A165" s="19">
        <v>11.0</v>
      </c>
      <c r="B165" s="20"/>
      <c r="C165" s="19">
        <v>1.0</v>
      </c>
      <c r="D165" s="22" t="s">
        <v>613</v>
      </c>
      <c r="E165" s="25" t="s">
        <v>935</v>
      </c>
      <c r="F165" s="22" t="s">
        <v>929</v>
      </c>
      <c r="G165" s="21">
        <v>3125000.0</v>
      </c>
      <c r="H165" s="23"/>
    </row>
    <row r="166">
      <c r="A166" s="19">
        <v>11.0</v>
      </c>
      <c r="B166" s="20"/>
      <c r="C166" s="19">
        <v>2.0</v>
      </c>
      <c r="D166" s="22" t="s">
        <v>602</v>
      </c>
      <c r="E166" s="25" t="s">
        <v>169</v>
      </c>
      <c r="F166" s="22" t="s">
        <v>930</v>
      </c>
      <c r="G166" s="21">
        <v>1638000.0</v>
      </c>
      <c r="H166" s="23"/>
    </row>
    <row r="167">
      <c r="A167" s="19">
        <v>11.0</v>
      </c>
      <c r="B167" s="20"/>
      <c r="C167" s="19">
        <v>2.0</v>
      </c>
      <c r="D167" s="22" t="s">
        <v>602</v>
      </c>
      <c r="E167" s="25" t="s">
        <v>176</v>
      </c>
      <c r="F167" s="22" t="s">
        <v>930</v>
      </c>
      <c r="G167" s="21">
        <v>3261000.0</v>
      </c>
      <c r="H167" s="23"/>
    </row>
    <row r="168">
      <c r="A168" s="19">
        <v>11.0</v>
      </c>
      <c r="B168" s="20"/>
      <c r="C168" s="19">
        <v>2.0</v>
      </c>
      <c r="D168" s="22" t="s">
        <v>602</v>
      </c>
      <c r="E168" s="25" t="s">
        <v>183</v>
      </c>
      <c r="F168" s="22" t="s">
        <v>930</v>
      </c>
      <c r="G168" s="21">
        <v>400000.0</v>
      </c>
      <c r="H168" s="23"/>
    </row>
    <row r="169">
      <c r="A169" s="19">
        <v>11.0</v>
      </c>
      <c r="B169" s="20"/>
      <c r="C169" s="19">
        <v>2.0</v>
      </c>
      <c r="D169" s="22" t="s">
        <v>602</v>
      </c>
      <c r="E169" s="25" t="s">
        <v>188</v>
      </c>
      <c r="F169" s="22" t="s">
        <v>930</v>
      </c>
      <c r="G169" s="21">
        <v>150000.0</v>
      </c>
      <c r="H169" s="23"/>
    </row>
    <row r="170">
      <c r="A170" s="19">
        <v>11.0</v>
      </c>
      <c r="B170" s="20"/>
      <c r="C170" s="19">
        <v>2.0</v>
      </c>
      <c r="D170" s="22" t="s">
        <v>607</v>
      </c>
      <c r="E170" s="25" t="s">
        <v>197</v>
      </c>
      <c r="F170" s="22" t="s">
        <v>930</v>
      </c>
      <c r="G170" s="21">
        <v>4000000.0</v>
      </c>
      <c r="H170" s="23"/>
    </row>
    <row r="171">
      <c r="A171" s="19">
        <v>11.0</v>
      </c>
      <c r="B171" s="20"/>
      <c r="C171" s="19">
        <v>2.0</v>
      </c>
      <c r="D171" s="22" t="s">
        <v>237</v>
      </c>
      <c r="E171" s="25" t="s">
        <v>237</v>
      </c>
      <c r="F171" s="22" t="s">
        <v>930</v>
      </c>
      <c r="G171" s="21">
        <v>5000000.0</v>
      </c>
      <c r="H171" s="23"/>
    </row>
    <row r="172">
      <c r="A172" s="19">
        <v>11.0</v>
      </c>
      <c r="B172" s="20"/>
      <c r="C172" s="19">
        <v>2.0</v>
      </c>
      <c r="D172" s="22" t="s">
        <v>613</v>
      </c>
      <c r="E172" s="25" t="s">
        <v>935</v>
      </c>
      <c r="F172" s="22" t="s">
        <v>930</v>
      </c>
      <c r="G172" s="21">
        <v>2200000.0</v>
      </c>
      <c r="H172" s="23"/>
    </row>
    <row r="173">
      <c r="A173" s="19">
        <v>12.0</v>
      </c>
      <c r="B173" s="20"/>
      <c r="C173" s="19">
        <v>1.0</v>
      </c>
      <c r="D173" s="22" t="s">
        <v>602</v>
      </c>
      <c r="E173" s="25" t="s">
        <v>169</v>
      </c>
      <c r="F173" s="22" t="s">
        <v>931</v>
      </c>
      <c r="G173" s="21">
        <v>2050000.0</v>
      </c>
      <c r="H173" s="23"/>
    </row>
    <row r="174">
      <c r="A174" s="19">
        <v>12.0</v>
      </c>
      <c r="B174" s="20"/>
      <c r="C174" s="19">
        <v>1.0</v>
      </c>
      <c r="D174" s="22" t="s">
        <v>602</v>
      </c>
      <c r="E174" s="25" t="s">
        <v>176</v>
      </c>
      <c r="F174" s="22" t="s">
        <v>931</v>
      </c>
      <c r="G174" s="21">
        <v>3669000.0</v>
      </c>
      <c r="H174" s="23"/>
    </row>
    <row r="175">
      <c r="A175" s="19">
        <v>12.0</v>
      </c>
      <c r="B175" s="20"/>
      <c r="C175" s="19">
        <v>1.0</v>
      </c>
      <c r="D175" s="22" t="s">
        <v>602</v>
      </c>
      <c r="E175" s="25" t="s">
        <v>183</v>
      </c>
      <c r="F175" s="22" t="s">
        <v>931</v>
      </c>
      <c r="G175" s="21">
        <v>400000.0</v>
      </c>
      <c r="H175" s="23"/>
    </row>
    <row r="176">
      <c r="A176" s="19">
        <v>12.0</v>
      </c>
      <c r="B176" s="20"/>
      <c r="C176" s="19">
        <v>1.0</v>
      </c>
      <c r="D176" s="22" t="s">
        <v>602</v>
      </c>
      <c r="E176" s="25" t="s">
        <v>188</v>
      </c>
      <c r="F176" s="22" t="s">
        <v>931</v>
      </c>
      <c r="G176" s="21">
        <v>150000.0</v>
      </c>
      <c r="H176" s="23"/>
    </row>
    <row r="177">
      <c r="A177" s="19">
        <v>12.0</v>
      </c>
      <c r="B177" s="20"/>
      <c r="C177" s="19">
        <v>1.0</v>
      </c>
      <c r="D177" s="22" t="s">
        <v>607</v>
      </c>
      <c r="E177" s="25" t="s">
        <v>607</v>
      </c>
      <c r="F177" s="22" t="s">
        <v>931</v>
      </c>
      <c r="G177" s="21">
        <v>3.1175E7</v>
      </c>
      <c r="H177" s="23"/>
    </row>
    <row r="178">
      <c r="A178" s="19">
        <v>12.0</v>
      </c>
      <c r="B178" s="20"/>
      <c r="C178" s="19">
        <v>1.0</v>
      </c>
      <c r="D178" s="22" t="s">
        <v>237</v>
      </c>
      <c r="E178" s="25" t="s">
        <v>237</v>
      </c>
      <c r="F178" s="22" t="s">
        <v>931</v>
      </c>
      <c r="G178" s="21">
        <v>1.07E7</v>
      </c>
      <c r="H178" s="23"/>
    </row>
    <row r="179">
      <c r="A179" s="19">
        <v>12.0</v>
      </c>
      <c r="B179" s="20"/>
      <c r="C179" s="19">
        <v>1.0</v>
      </c>
      <c r="D179" s="22" t="s">
        <v>610</v>
      </c>
      <c r="E179" s="25" t="s">
        <v>938</v>
      </c>
      <c r="F179" s="22" t="s">
        <v>931</v>
      </c>
      <c r="G179" s="21">
        <v>2.69E7</v>
      </c>
      <c r="H179" s="23"/>
    </row>
    <row r="180">
      <c r="A180" s="19">
        <v>12.0</v>
      </c>
      <c r="B180" s="20"/>
      <c r="C180" s="19">
        <v>1.0</v>
      </c>
      <c r="D180" s="22" t="s">
        <v>793</v>
      </c>
      <c r="E180" s="25" t="s">
        <v>793</v>
      </c>
      <c r="F180" s="22" t="s">
        <v>931</v>
      </c>
      <c r="G180" s="21">
        <v>2.94E7</v>
      </c>
      <c r="H180" s="23"/>
    </row>
    <row r="181">
      <c r="A181" s="19">
        <v>12.0</v>
      </c>
      <c r="B181" s="20"/>
      <c r="C181" s="19">
        <v>1.0</v>
      </c>
      <c r="D181" s="22" t="s">
        <v>248</v>
      </c>
      <c r="E181" s="25" t="s">
        <v>248</v>
      </c>
      <c r="F181" s="22" t="s">
        <v>931</v>
      </c>
      <c r="G181" s="21">
        <v>3200000.0</v>
      </c>
      <c r="H181" s="23"/>
    </row>
    <row r="182">
      <c r="A182" s="19">
        <v>12.0</v>
      </c>
      <c r="B182" s="20"/>
      <c r="C182" s="19">
        <v>1.0</v>
      </c>
      <c r="D182" s="22" t="s">
        <v>239</v>
      </c>
      <c r="E182" s="25" t="s">
        <v>239</v>
      </c>
      <c r="F182" s="22" t="s">
        <v>931</v>
      </c>
      <c r="G182" s="21">
        <v>9150000.0</v>
      </c>
      <c r="H182" s="23"/>
    </row>
    <row r="183">
      <c r="A183" s="19">
        <v>12.0</v>
      </c>
      <c r="B183" s="20"/>
      <c r="C183" s="19">
        <v>1.0</v>
      </c>
      <c r="D183" s="22" t="s">
        <v>602</v>
      </c>
      <c r="E183" s="25" t="s">
        <v>243</v>
      </c>
      <c r="F183" s="22" t="s">
        <v>931</v>
      </c>
      <c r="G183" s="21">
        <v>150000.0</v>
      </c>
      <c r="H183" s="23"/>
    </row>
    <row r="184">
      <c r="A184" s="19">
        <v>12.0</v>
      </c>
      <c r="B184" s="20"/>
      <c r="C184" s="19">
        <v>1.0</v>
      </c>
      <c r="D184" s="22" t="s">
        <v>613</v>
      </c>
      <c r="E184" s="25" t="s">
        <v>935</v>
      </c>
      <c r="F184" s="22" t="s">
        <v>931</v>
      </c>
      <c r="G184" s="21">
        <v>4655000.0</v>
      </c>
      <c r="H184" s="23"/>
    </row>
    <row r="185">
      <c r="A185" s="19">
        <v>12.0</v>
      </c>
      <c r="B185" s="20"/>
      <c r="C185" s="19">
        <v>2.0</v>
      </c>
      <c r="D185" s="22" t="s">
        <v>602</v>
      </c>
      <c r="E185" s="25" t="s">
        <v>169</v>
      </c>
      <c r="F185" s="22" t="s">
        <v>932</v>
      </c>
      <c r="G185" s="21">
        <v>1239000.0</v>
      </c>
      <c r="H185" s="23"/>
    </row>
    <row r="186">
      <c r="A186" s="19">
        <v>12.0</v>
      </c>
      <c r="B186" s="20"/>
      <c r="C186" s="19">
        <v>2.0</v>
      </c>
      <c r="D186" s="22" t="s">
        <v>602</v>
      </c>
      <c r="E186" s="25" t="s">
        <v>176</v>
      </c>
      <c r="F186" s="22" t="s">
        <v>932</v>
      </c>
      <c r="G186" s="21">
        <v>2516000.0</v>
      </c>
      <c r="H186" s="23"/>
    </row>
    <row r="187">
      <c r="A187" s="19">
        <v>12.0</v>
      </c>
      <c r="B187" s="20"/>
      <c r="C187" s="19">
        <v>2.0</v>
      </c>
      <c r="D187" s="22" t="s">
        <v>602</v>
      </c>
      <c r="E187" s="25" t="s">
        <v>183</v>
      </c>
      <c r="F187" s="22" t="s">
        <v>932</v>
      </c>
      <c r="G187" s="21">
        <v>400000.0</v>
      </c>
      <c r="H187" s="23"/>
    </row>
    <row r="188">
      <c r="A188" s="19">
        <v>12.0</v>
      </c>
      <c r="B188" s="20"/>
      <c r="C188" s="19">
        <v>2.0</v>
      </c>
      <c r="D188" s="22" t="s">
        <v>602</v>
      </c>
      <c r="E188" s="25" t="s">
        <v>188</v>
      </c>
      <c r="F188" s="22" t="s">
        <v>932</v>
      </c>
      <c r="G188" s="21">
        <v>150000.0</v>
      </c>
      <c r="H188" s="23"/>
    </row>
    <row r="189">
      <c r="A189" s="19">
        <v>12.0</v>
      </c>
      <c r="B189" s="20"/>
      <c r="C189" s="19">
        <v>2.0</v>
      </c>
      <c r="D189" s="22" t="s">
        <v>607</v>
      </c>
      <c r="E189" s="25" t="s">
        <v>607</v>
      </c>
      <c r="F189" s="22" t="s">
        <v>932</v>
      </c>
      <c r="G189" s="21">
        <v>2.834E7</v>
      </c>
      <c r="H189" s="23"/>
    </row>
    <row r="190">
      <c r="A190" s="19">
        <v>12.0</v>
      </c>
      <c r="B190" s="20"/>
      <c r="C190" s="19">
        <v>2.0</v>
      </c>
      <c r="D190" s="22" t="s">
        <v>602</v>
      </c>
      <c r="E190" s="25" t="s">
        <v>243</v>
      </c>
      <c r="F190" s="22" t="s">
        <v>932</v>
      </c>
      <c r="G190" s="21">
        <v>500000.0</v>
      </c>
      <c r="H190" s="23"/>
    </row>
    <row r="191">
      <c r="A191" s="19">
        <v>12.0</v>
      </c>
      <c r="B191" s="20"/>
      <c r="C191" s="19">
        <v>2.0</v>
      </c>
      <c r="D191" s="22" t="s">
        <v>613</v>
      </c>
      <c r="E191" s="25" t="s">
        <v>233</v>
      </c>
      <c r="F191" s="22" t="s">
        <v>932</v>
      </c>
      <c r="G191" s="21">
        <v>3500000.0</v>
      </c>
      <c r="H191" s="23"/>
    </row>
    <row r="192">
      <c r="A192" s="19">
        <v>12.0</v>
      </c>
      <c r="B192" s="20"/>
      <c r="C192" s="19">
        <v>2.0</v>
      </c>
      <c r="D192" s="22" t="s">
        <v>793</v>
      </c>
      <c r="E192" s="25" t="s">
        <v>793</v>
      </c>
      <c r="F192" s="22" t="s">
        <v>932</v>
      </c>
      <c r="G192" s="21">
        <v>4520000.0</v>
      </c>
      <c r="H192" s="23"/>
    </row>
    <row r="193">
      <c r="A193" s="19">
        <v>12.0</v>
      </c>
      <c r="B193" s="20"/>
      <c r="C193" s="19">
        <v>2.0</v>
      </c>
      <c r="D193" s="22" t="s">
        <v>613</v>
      </c>
      <c r="E193" s="25" t="s">
        <v>935</v>
      </c>
      <c r="F193" s="22" t="s">
        <v>932</v>
      </c>
      <c r="G193" s="21">
        <v>475000.0</v>
      </c>
      <c r="H193" s="23"/>
    </row>
    <row r="194">
      <c r="G194" s="26"/>
    </row>
    <row r="195">
      <c r="G195" s="26"/>
    </row>
    <row r="196">
      <c r="G196" s="26"/>
    </row>
    <row r="197">
      <c r="G197" s="26"/>
    </row>
    <row r="198">
      <c r="G198" s="26"/>
    </row>
    <row r="199">
      <c r="G199" s="26"/>
    </row>
    <row r="200">
      <c r="G200" s="26"/>
    </row>
    <row r="201">
      <c r="G201" s="26"/>
    </row>
    <row r="202">
      <c r="G202" s="26"/>
    </row>
    <row r="203">
      <c r="G203" s="26"/>
    </row>
    <row r="204">
      <c r="G204" s="26"/>
    </row>
    <row r="205">
      <c r="G205" s="26"/>
    </row>
    <row r="206">
      <c r="G206" s="26"/>
    </row>
    <row r="207">
      <c r="G207" s="26"/>
    </row>
    <row r="208">
      <c r="G208" s="26"/>
    </row>
    <row r="209">
      <c r="G209" s="26"/>
    </row>
    <row r="210">
      <c r="G210" s="26"/>
    </row>
    <row r="211">
      <c r="G211" s="26"/>
    </row>
    <row r="212">
      <c r="G212" s="26"/>
    </row>
    <row r="213">
      <c r="G213" s="26"/>
    </row>
    <row r="214">
      <c r="G214" s="26"/>
    </row>
    <row r="215">
      <c r="G215" s="26"/>
    </row>
    <row r="216">
      <c r="G216" s="26"/>
    </row>
    <row r="217">
      <c r="G217" s="26"/>
    </row>
    <row r="218">
      <c r="G218" s="26"/>
    </row>
    <row r="219">
      <c r="G219" s="26"/>
    </row>
    <row r="220">
      <c r="G220" s="26"/>
    </row>
    <row r="221">
      <c r="G221" s="26"/>
    </row>
    <row r="222">
      <c r="G222" s="26"/>
    </row>
    <row r="223">
      <c r="G223" s="26"/>
    </row>
    <row r="224">
      <c r="G224" s="26"/>
    </row>
    <row r="225">
      <c r="G225" s="26"/>
    </row>
    <row r="226">
      <c r="G226" s="26"/>
    </row>
    <row r="227">
      <c r="G227" s="26"/>
    </row>
    <row r="228">
      <c r="G228" s="26"/>
    </row>
    <row r="229">
      <c r="G229" s="26"/>
    </row>
    <row r="230">
      <c r="G230" s="26"/>
    </row>
    <row r="231">
      <c r="G231" s="26"/>
    </row>
    <row r="232">
      <c r="G232" s="26"/>
    </row>
    <row r="233">
      <c r="G233" s="26"/>
    </row>
    <row r="234">
      <c r="G234" s="26"/>
    </row>
    <row r="235">
      <c r="G235" s="26"/>
    </row>
    <row r="236">
      <c r="G236" s="26"/>
    </row>
    <row r="237">
      <c r="G237" s="26"/>
    </row>
    <row r="238">
      <c r="G238" s="26"/>
    </row>
    <row r="239">
      <c r="G239" s="26"/>
    </row>
    <row r="240">
      <c r="G240" s="26"/>
    </row>
    <row r="241">
      <c r="G241" s="26"/>
    </row>
    <row r="242">
      <c r="G242" s="26"/>
    </row>
    <row r="243">
      <c r="G243" s="26"/>
    </row>
    <row r="244">
      <c r="G244" s="26"/>
    </row>
    <row r="245">
      <c r="G245" s="26"/>
    </row>
    <row r="246">
      <c r="G246" s="26"/>
    </row>
    <row r="247">
      <c r="G247" s="26"/>
    </row>
    <row r="248">
      <c r="G248" s="26"/>
    </row>
    <row r="249">
      <c r="G249" s="26"/>
    </row>
    <row r="250">
      <c r="G250" s="26"/>
    </row>
    <row r="251">
      <c r="G251" s="26"/>
    </row>
    <row r="252">
      <c r="G252" s="26"/>
    </row>
    <row r="253">
      <c r="G253" s="26"/>
    </row>
    <row r="254">
      <c r="G254" s="26"/>
    </row>
    <row r="255">
      <c r="G255" s="26"/>
    </row>
    <row r="256">
      <c r="G256" s="26"/>
    </row>
    <row r="257">
      <c r="G257" s="26"/>
    </row>
    <row r="258">
      <c r="G258" s="26"/>
    </row>
    <row r="259">
      <c r="G259" s="26"/>
    </row>
    <row r="260">
      <c r="G260" s="26"/>
    </row>
    <row r="261">
      <c r="G261" s="26"/>
    </row>
    <row r="262">
      <c r="G262" s="26"/>
    </row>
    <row r="263">
      <c r="G263" s="26"/>
    </row>
    <row r="264">
      <c r="G264" s="26"/>
    </row>
    <row r="265">
      <c r="G265" s="26"/>
    </row>
    <row r="266">
      <c r="G266" s="26"/>
    </row>
    <row r="267">
      <c r="G267" s="26"/>
    </row>
    <row r="268">
      <c r="G268" s="26"/>
    </row>
    <row r="269">
      <c r="G269" s="26"/>
    </row>
    <row r="270">
      <c r="G270" s="26"/>
    </row>
    <row r="271">
      <c r="G271" s="26"/>
    </row>
    <row r="272">
      <c r="G272" s="26"/>
    </row>
    <row r="273">
      <c r="G273" s="26"/>
    </row>
    <row r="274">
      <c r="G274" s="26"/>
    </row>
    <row r="275">
      <c r="G275" s="26"/>
    </row>
    <row r="276">
      <c r="G276" s="26"/>
    </row>
    <row r="277">
      <c r="G277" s="26"/>
    </row>
    <row r="278">
      <c r="G278" s="26"/>
    </row>
    <row r="279">
      <c r="G279" s="26"/>
    </row>
    <row r="280">
      <c r="G280" s="26"/>
    </row>
    <row r="281">
      <c r="G281" s="26"/>
    </row>
    <row r="282">
      <c r="G282" s="26"/>
    </row>
    <row r="283">
      <c r="G283" s="26"/>
    </row>
    <row r="284">
      <c r="G284" s="26"/>
    </row>
    <row r="285">
      <c r="G285" s="26"/>
    </row>
    <row r="286">
      <c r="G286" s="26"/>
    </row>
    <row r="287">
      <c r="G287" s="26"/>
    </row>
    <row r="288">
      <c r="G288" s="26"/>
    </row>
    <row r="289">
      <c r="G289" s="26"/>
    </row>
    <row r="290">
      <c r="G290" s="26"/>
    </row>
    <row r="291">
      <c r="G291" s="26"/>
    </row>
    <row r="292">
      <c r="G292" s="26"/>
    </row>
    <row r="293">
      <c r="G293" s="26"/>
    </row>
    <row r="294">
      <c r="G294" s="26"/>
    </row>
    <row r="295">
      <c r="G295" s="26"/>
    </row>
    <row r="296">
      <c r="G296" s="26"/>
    </row>
    <row r="297">
      <c r="G297" s="26"/>
    </row>
    <row r="298">
      <c r="G298" s="26"/>
    </row>
    <row r="299">
      <c r="G299" s="26"/>
    </row>
    <row r="300">
      <c r="G300" s="26"/>
    </row>
    <row r="301">
      <c r="G301" s="26"/>
    </row>
    <row r="302">
      <c r="G302" s="26"/>
    </row>
    <row r="303">
      <c r="G303" s="26"/>
    </row>
    <row r="304">
      <c r="G304" s="26"/>
    </row>
    <row r="305">
      <c r="G305" s="26"/>
    </row>
    <row r="306">
      <c r="G306" s="26"/>
    </row>
    <row r="307">
      <c r="G307" s="26"/>
    </row>
    <row r="308">
      <c r="G308" s="26"/>
    </row>
    <row r="309">
      <c r="G309" s="26"/>
    </row>
    <row r="310">
      <c r="G310" s="26"/>
    </row>
    <row r="311">
      <c r="G311" s="26"/>
    </row>
    <row r="312">
      <c r="G312" s="26"/>
    </row>
    <row r="313">
      <c r="G313" s="26"/>
    </row>
    <row r="314">
      <c r="G314" s="26"/>
    </row>
    <row r="315">
      <c r="G315" s="26"/>
    </row>
    <row r="316">
      <c r="G316" s="26"/>
    </row>
    <row r="317">
      <c r="G317" s="26"/>
    </row>
    <row r="318">
      <c r="G318" s="26"/>
    </row>
    <row r="319">
      <c r="G319" s="26"/>
    </row>
    <row r="320">
      <c r="G320" s="26"/>
    </row>
    <row r="321">
      <c r="G321" s="26"/>
    </row>
    <row r="322">
      <c r="G322" s="26"/>
    </row>
    <row r="323">
      <c r="G323" s="26"/>
    </row>
    <row r="324">
      <c r="G324" s="26"/>
    </row>
    <row r="325">
      <c r="G325" s="26"/>
    </row>
    <row r="326">
      <c r="G326" s="26"/>
    </row>
    <row r="327">
      <c r="G327" s="26"/>
    </row>
    <row r="328">
      <c r="G328" s="26"/>
    </row>
    <row r="329">
      <c r="G329" s="26"/>
    </row>
    <row r="330">
      <c r="G330" s="26"/>
    </row>
    <row r="331">
      <c r="G331" s="26"/>
    </row>
    <row r="332">
      <c r="G332" s="26"/>
    </row>
    <row r="333">
      <c r="G333" s="26"/>
    </row>
    <row r="334">
      <c r="G334" s="26"/>
    </row>
    <row r="335">
      <c r="G335" s="26"/>
    </row>
    <row r="336">
      <c r="G336" s="26"/>
    </row>
    <row r="337">
      <c r="G337" s="26"/>
    </row>
    <row r="338">
      <c r="G338" s="26"/>
    </row>
    <row r="339">
      <c r="G339" s="26"/>
    </row>
    <row r="340">
      <c r="G340" s="26"/>
    </row>
    <row r="341">
      <c r="G341" s="26"/>
    </row>
    <row r="342">
      <c r="G342" s="26"/>
    </row>
    <row r="343">
      <c r="G343" s="26"/>
    </row>
    <row r="344">
      <c r="G344" s="26"/>
    </row>
    <row r="345">
      <c r="G345" s="26"/>
    </row>
    <row r="346">
      <c r="G346" s="26"/>
    </row>
    <row r="347">
      <c r="G347" s="26"/>
    </row>
    <row r="348">
      <c r="G348" s="26"/>
    </row>
    <row r="349">
      <c r="G349" s="26"/>
    </row>
    <row r="350">
      <c r="G350" s="26"/>
    </row>
    <row r="351">
      <c r="G351" s="26"/>
    </row>
    <row r="352">
      <c r="G352" s="26"/>
    </row>
    <row r="353">
      <c r="G353" s="26"/>
    </row>
    <row r="354">
      <c r="G354" s="26"/>
    </row>
    <row r="355">
      <c r="G355" s="26"/>
    </row>
    <row r="356">
      <c r="G356" s="26"/>
    </row>
    <row r="357">
      <c r="G357" s="26"/>
    </row>
    <row r="358">
      <c r="G358" s="26"/>
    </row>
    <row r="359">
      <c r="G359" s="26"/>
    </row>
    <row r="360">
      <c r="G360" s="26"/>
    </row>
    <row r="361">
      <c r="G361" s="26"/>
    </row>
    <row r="362">
      <c r="G362" s="26"/>
    </row>
    <row r="363">
      <c r="G363" s="26"/>
    </row>
    <row r="364">
      <c r="G364" s="26"/>
    </row>
    <row r="365">
      <c r="G365" s="26"/>
    </row>
    <row r="366">
      <c r="G366" s="26"/>
    </row>
    <row r="367">
      <c r="G367" s="26"/>
    </row>
    <row r="368">
      <c r="G368" s="26"/>
    </row>
    <row r="369">
      <c r="G369" s="26"/>
    </row>
    <row r="370">
      <c r="G370" s="26"/>
    </row>
    <row r="371">
      <c r="G371" s="26"/>
    </row>
    <row r="372">
      <c r="G372" s="26"/>
    </row>
    <row r="373">
      <c r="G373" s="26"/>
    </row>
    <row r="374">
      <c r="G374" s="26"/>
    </row>
    <row r="375">
      <c r="G375" s="26"/>
    </row>
    <row r="376">
      <c r="G376" s="26"/>
    </row>
    <row r="377">
      <c r="G377" s="26"/>
    </row>
    <row r="378">
      <c r="G378" s="26"/>
    </row>
    <row r="379">
      <c r="G379" s="26"/>
    </row>
    <row r="380">
      <c r="G380" s="26"/>
    </row>
    <row r="381">
      <c r="G381" s="26"/>
    </row>
    <row r="382">
      <c r="G382" s="26"/>
    </row>
    <row r="383">
      <c r="G383" s="26"/>
    </row>
    <row r="384">
      <c r="G384" s="26"/>
    </row>
    <row r="385">
      <c r="G385" s="26"/>
    </row>
    <row r="386">
      <c r="G386" s="26"/>
    </row>
    <row r="387">
      <c r="G387" s="26"/>
    </row>
    <row r="388">
      <c r="G388" s="26"/>
    </row>
    <row r="389">
      <c r="G389" s="26"/>
    </row>
    <row r="390">
      <c r="G390" s="26"/>
    </row>
    <row r="391">
      <c r="G391" s="26"/>
    </row>
    <row r="392">
      <c r="G392" s="26"/>
    </row>
    <row r="393">
      <c r="G393" s="26"/>
    </row>
    <row r="394">
      <c r="G394" s="26"/>
    </row>
    <row r="395">
      <c r="G395" s="26"/>
    </row>
    <row r="396">
      <c r="G396" s="26"/>
    </row>
    <row r="397">
      <c r="G397" s="26"/>
    </row>
    <row r="398">
      <c r="G398" s="26"/>
    </row>
    <row r="399">
      <c r="G399" s="26"/>
    </row>
    <row r="400">
      <c r="G400" s="26"/>
    </row>
    <row r="401">
      <c r="G401" s="26"/>
    </row>
    <row r="402">
      <c r="G402" s="26"/>
    </row>
    <row r="403">
      <c r="G403" s="26"/>
    </row>
    <row r="404">
      <c r="G404" s="26"/>
    </row>
    <row r="405">
      <c r="G405" s="26"/>
    </row>
    <row r="406">
      <c r="G406" s="26"/>
    </row>
    <row r="407">
      <c r="G407" s="26"/>
    </row>
    <row r="408">
      <c r="G408" s="26"/>
    </row>
    <row r="409">
      <c r="G409" s="26"/>
    </row>
    <row r="410">
      <c r="G410" s="26"/>
    </row>
    <row r="411">
      <c r="G411" s="26"/>
    </row>
    <row r="412">
      <c r="G412" s="26"/>
    </row>
    <row r="413">
      <c r="G413" s="26"/>
    </row>
    <row r="414">
      <c r="G414" s="26"/>
    </row>
    <row r="415">
      <c r="G415" s="26"/>
    </row>
    <row r="416">
      <c r="G416" s="26"/>
    </row>
    <row r="417">
      <c r="G417" s="26"/>
    </row>
    <row r="418">
      <c r="G418" s="26"/>
    </row>
    <row r="419">
      <c r="G419" s="26"/>
    </row>
    <row r="420">
      <c r="G420" s="26"/>
    </row>
    <row r="421">
      <c r="G421" s="26"/>
    </row>
    <row r="422">
      <c r="G422" s="26"/>
    </row>
    <row r="423">
      <c r="G423" s="26"/>
    </row>
    <row r="424">
      <c r="G424" s="26"/>
    </row>
    <row r="425">
      <c r="G425" s="26"/>
    </row>
    <row r="426">
      <c r="G426" s="26"/>
    </row>
    <row r="427">
      <c r="G427" s="26"/>
    </row>
    <row r="428">
      <c r="G428" s="26"/>
    </row>
    <row r="429">
      <c r="G429" s="26"/>
    </row>
    <row r="430">
      <c r="G430" s="26"/>
    </row>
    <row r="431">
      <c r="G431" s="26"/>
    </row>
    <row r="432">
      <c r="G432" s="26"/>
    </row>
    <row r="433">
      <c r="G433" s="26"/>
    </row>
    <row r="434">
      <c r="G434" s="26"/>
    </row>
    <row r="435">
      <c r="G435" s="26"/>
    </row>
    <row r="436">
      <c r="G436" s="26"/>
    </row>
    <row r="437">
      <c r="G437" s="26"/>
    </row>
    <row r="438">
      <c r="G438" s="26"/>
    </row>
    <row r="439">
      <c r="G439" s="26"/>
    </row>
    <row r="440">
      <c r="G440" s="26"/>
    </row>
    <row r="441">
      <c r="G441" s="26"/>
    </row>
    <row r="442">
      <c r="G442" s="26"/>
    </row>
    <row r="443">
      <c r="G443" s="26"/>
    </row>
    <row r="444">
      <c r="G444" s="26"/>
    </row>
    <row r="445">
      <c r="G445" s="26"/>
    </row>
    <row r="446">
      <c r="G446" s="26"/>
    </row>
    <row r="447">
      <c r="G447" s="26"/>
    </row>
    <row r="448">
      <c r="G448" s="26"/>
    </row>
    <row r="449">
      <c r="G449" s="26"/>
    </row>
    <row r="450">
      <c r="G450" s="26"/>
    </row>
    <row r="451">
      <c r="G451" s="26"/>
    </row>
    <row r="452">
      <c r="G452" s="26"/>
    </row>
    <row r="453">
      <c r="G453" s="26"/>
    </row>
    <row r="454">
      <c r="G454" s="26"/>
    </row>
    <row r="455">
      <c r="G455" s="26"/>
    </row>
    <row r="456">
      <c r="G456" s="26"/>
    </row>
    <row r="457">
      <c r="G457" s="26"/>
    </row>
    <row r="458">
      <c r="G458" s="26"/>
    </row>
    <row r="459">
      <c r="G459" s="26"/>
    </row>
    <row r="460">
      <c r="G460" s="26"/>
    </row>
    <row r="461">
      <c r="G461" s="26"/>
    </row>
    <row r="462">
      <c r="G462" s="26"/>
    </row>
    <row r="463">
      <c r="G463" s="26"/>
    </row>
    <row r="464">
      <c r="G464" s="26"/>
    </row>
    <row r="465">
      <c r="G465" s="26"/>
    </row>
    <row r="466">
      <c r="G466" s="26"/>
    </row>
    <row r="467">
      <c r="G467" s="26"/>
    </row>
    <row r="468">
      <c r="G468" s="26"/>
    </row>
    <row r="469">
      <c r="G469" s="26"/>
    </row>
    <row r="470">
      <c r="G470" s="26"/>
    </row>
    <row r="471">
      <c r="G471" s="26"/>
    </row>
    <row r="472">
      <c r="G472" s="26"/>
    </row>
    <row r="473">
      <c r="G473" s="26"/>
    </row>
    <row r="474">
      <c r="G474" s="26"/>
    </row>
    <row r="475">
      <c r="G475" s="26"/>
    </row>
    <row r="476">
      <c r="G476" s="26"/>
    </row>
    <row r="477">
      <c r="G477" s="26"/>
    </row>
    <row r="478">
      <c r="G478" s="26"/>
    </row>
    <row r="479">
      <c r="G479" s="26"/>
    </row>
    <row r="480">
      <c r="G480" s="26"/>
    </row>
    <row r="481">
      <c r="G481" s="26"/>
    </row>
    <row r="482">
      <c r="G482" s="26"/>
    </row>
    <row r="483">
      <c r="G483" s="26"/>
    </row>
    <row r="484">
      <c r="G484" s="26"/>
    </row>
    <row r="485">
      <c r="G485" s="26"/>
    </row>
    <row r="486">
      <c r="G486" s="26"/>
    </row>
    <row r="487">
      <c r="G487" s="26"/>
    </row>
    <row r="488">
      <c r="G488" s="26"/>
    </row>
    <row r="489">
      <c r="G489" s="26"/>
    </row>
    <row r="490">
      <c r="G490" s="26"/>
    </row>
    <row r="491">
      <c r="G491" s="26"/>
    </row>
    <row r="492">
      <c r="G492" s="26"/>
    </row>
    <row r="493">
      <c r="G493" s="26"/>
    </row>
    <row r="494">
      <c r="G494" s="26"/>
    </row>
    <row r="495">
      <c r="G495" s="26"/>
    </row>
    <row r="496">
      <c r="G496" s="26"/>
    </row>
    <row r="497">
      <c r="G497" s="26"/>
    </row>
    <row r="498">
      <c r="G498" s="26"/>
    </row>
    <row r="499">
      <c r="G499" s="26"/>
    </row>
    <row r="500">
      <c r="G500" s="26"/>
    </row>
    <row r="501">
      <c r="G501" s="26"/>
    </row>
    <row r="502">
      <c r="G502" s="26"/>
    </row>
    <row r="503">
      <c r="G503" s="26"/>
    </row>
    <row r="504">
      <c r="G504" s="26"/>
    </row>
    <row r="505">
      <c r="G505" s="26"/>
    </row>
    <row r="506">
      <c r="G506" s="26"/>
    </row>
    <row r="507">
      <c r="G507" s="26"/>
    </row>
    <row r="508">
      <c r="G508" s="26"/>
    </row>
    <row r="509">
      <c r="G509" s="26"/>
    </row>
    <row r="510">
      <c r="G510" s="26"/>
    </row>
    <row r="511">
      <c r="G511" s="26"/>
    </row>
    <row r="512">
      <c r="G512" s="26"/>
    </row>
    <row r="513">
      <c r="G513" s="26"/>
    </row>
    <row r="514">
      <c r="G514" s="26"/>
    </row>
    <row r="515">
      <c r="G515" s="26"/>
    </row>
    <row r="516">
      <c r="G516" s="26"/>
    </row>
    <row r="517">
      <c r="G517" s="26"/>
    </row>
    <row r="518">
      <c r="G518" s="26"/>
    </row>
    <row r="519">
      <c r="G519" s="26"/>
    </row>
    <row r="520">
      <c r="G520" s="26"/>
    </row>
    <row r="521">
      <c r="G521" s="26"/>
    </row>
    <row r="522">
      <c r="G522" s="26"/>
    </row>
    <row r="523">
      <c r="G523" s="26"/>
    </row>
    <row r="524">
      <c r="G524" s="26"/>
    </row>
    <row r="525">
      <c r="G525" s="26"/>
    </row>
    <row r="526">
      <c r="G526" s="26"/>
    </row>
    <row r="527">
      <c r="G527" s="26"/>
    </row>
    <row r="528">
      <c r="G528" s="26"/>
    </row>
    <row r="529">
      <c r="G529" s="26"/>
    </row>
    <row r="530">
      <c r="G530" s="26"/>
    </row>
    <row r="531">
      <c r="G531" s="26"/>
    </row>
    <row r="532">
      <c r="G532" s="26"/>
    </row>
    <row r="533">
      <c r="G533" s="26"/>
    </row>
    <row r="534">
      <c r="G534" s="26"/>
    </row>
    <row r="535">
      <c r="G535" s="26"/>
    </row>
    <row r="536">
      <c r="G536" s="26"/>
    </row>
    <row r="537">
      <c r="G537" s="26"/>
    </row>
    <row r="538">
      <c r="G538" s="26"/>
    </row>
    <row r="539">
      <c r="G539" s="26"/>
    </row>
    <row r="540">
      <c r="G540" s="26"/>
    </row>
    <row r="541">
      <c r="G541" s="26"/>
    </row>
    <row r="542">
      <c r="G542" s="26"/>
    </row>
    <row r="543">
      <c r="G543" s="26"/>
    </row>
    <row r="544">
      <c r="G544" s="26"/>
    </row>
    <row r="545">
      <c r="G545" s="26"/>
    </row>
    <row r="546">
      <c r="G546" s="26"/>
    </row>
    <row r="547">
      <c r="G547" s="26"/>
    </row>
    <row r="548">
      <c r="G548" s="26"/>
    </row>
    <row r="549">
      <c r="G549" s="26"/>
    </row>
    <row r="550">
      <c r="G550" s="26"/>
    </row>
    <row r="551">
      <c r="G551" s="26"/>
    </row>
    <row r="552">
      <c r="G552" s="26"/>
    </row>
    <row r="553">
      <c r="G553" s="26"/>
    </row>
    <row r="554">
      <c r="G554" s="26"/>
    </row>
    <row r="555">
      <c r="G555" s="26"/>
    </row>
    <row r="556">
      <c r="G556" s="26"/>
    </row>
    <row r="557">
      <c r="G557" s="26"/>
    </row>
    <row r="558">
      <c r="G558" s="26"/>
    </row>
    <row r="559">
      <c r="G559" s="26"/>
    </row>
    <row r="560">
      <c r="G560" s="26"/>
    </row>
    <row r="561">
      <c r="G561" s="26"/>
    </row>
    <row r="562">
      <c r="G562" s="26"/>
    </row>
    <row r="563">
      <c r="G563" s="26"/>
    </row>
    <row r="564">
      <c r="G564" s="26"/>
    </row>
    <row r="565">
      <c r="G565" s="26"/>
    </row>
    <row r="566">
      <c r="G566" s="26"/>
    </row>
    <row r="567">
      <c r="G567" s="26"/>
    </row>
    <row r="568">
      <c r="G568" s="26"/>
    </row>
    <row r="569">
      <c r="G569" s="26"/>
    </row>
    <row r="570">
      <c r="G570" s="26"/>
    </row>
    <row r="571">
      <c r="G571" s="26"/>
    </row>
    <row r="572">
      <c r="G572" s="26"/>
    </row>
    <row r="573">
      <c r="G573" s="26"/>
    </row>
    <row r="574">
      <c r="G574" s="26"/>
    </row>
    <row r="575">
      <c r="G575" s="26"/>
    </row>
    <row r="576">
      <c r="G576" s="26"/>
    </row>
    <row r="577">
      <c r="G577" s="26"/>
    </row>
    <row r="578">
      <c r="G578" s="26"/>
    </row>
    <row r="579">
      <c r="G579" s="26"/>
    </row>
    <row r="580">
      <c r="G580" s="26"/>
    </row>
    <row r="581">
      <c r="G581" s="26"/>
    </row>
    <row r="582">
      <c r="G582" s="26"/>
    </row>
    <row r="583">
      <c r="G583" s="26"/>
    </row>
    <row r="584">
      <c r="G584" s="26"/>
    </row>
    <row r="585">
      <c r="G585" s="26"/>
    </row>
    <row r="586">
      <c r="G586" s="26"/>
    </row>
    <row r="587">
      <c r="G587" s="26"/>
    </row>
    <row r="588">
      <c r="G588" s="26"/>
    </row>
    <row r="589">
      <c r="G589" s="26"/>
    </row>
    <row r="590">
      <c r="G590" s="26"/>
    </row>
    <row r="591">
      <c r="G591" s="26"/>
    </row>
    <row r="592">
      <c r="G592" s="26"/>
    </row>
    <row r="593">
      <c r="G593" s="26"/>
    </row>
    <row r="594">
      <c r="G594" s="26"/>
    </row>
    <row r="595">
      <c r="G595" s="26"/>
    </row>
    <row r="596">
      <c r="G596" s="26"/>
    </row>
    <row r="597">
      <c r="G597" s="26"/>
    </row>
    <row r="598">
      <c r="G598" s="26"/>
    </row>
    <row r="599">
      <c r="G599" s="26"/>
    </row>
    <row r="600">
      <c r="G600" s="26"/>
    </row>
    <row r="601">
      <c r="G601" s="26"/>
    </row>
    <row r="602">
      <c r="G602" s="26"/>
    </row>
    <row r="603">
      <c r="G603" s="26"/>
    </row>
    <row r="604">
      <c r="G604" s="26"/>
    </row>
    <row r="605">
      <c r="G605" s="26"/>
    </row>
    <row r="606">
      <c r="G606" s="26"/>
    </row>
    <row r="607">
      <c r="G607" s="26"/>
    </row>
    <row r="608">
      <c r="G608" s="26"/>
    </row>
    <row r="609">
      <c r="G609" s="26"/>
    </row>
    <row r="610">
      <c r="G610" s="26"/>
    </row>
    <row r="611">
      <c r="G611" s="26"/>
    </row>
    <row r="612">
      <c r="G612" s="26"/>
    </row>
    <row r="613">
      <c r="G613" s="26"/>
    </row>
    <row r="614">
      <c r="G614" s="26"/>
    </row>
    <row r="615">
      <c r="G615" s="26"/>
    </row>
    <row r="616">
      <c r="G616" s="26"/>
    </row>
    <row r="617">
      <c r="G617" s="26"/>
    </row>
    <row r="618">
      <c r="G618" s="26"/>
    </row>
    <row r="619">
      <c r="G619" s="26"/>
    </row>
    <row r="620">
      <c r="G620" s="26"/>
    </row>
    <row r="621">
      <c r="G621" s="26"/>
    </row>
    <row r="622">
      <c r="G622" s="26"/>
    </row>
    <row r="623">
      <c r="G623" s="26"/>
    </row>
    <row r="624">
      <c r="G624" s="26"/>
    </row>
    <row r="625">
      <c r="G625" s="26"/>
    </row>
    <row r="626">
      <c r="G626" s="26"/>
    </row>
    <row r="627">
      <c r="G627" s="26"/>
    </row>
    <row r="628">
      <c r="G628" s="26"/>
    </row>
    <row r="629">
      <c r="G629" s="26"/>
    </row>
    <row r="630">
      <c r="G630" s="26"/>
    </row>
    <row r="631">
      <c r="G631" s="26"/>
    </row>
    <row r="632">
      <c r="G632" s="26"/>
    </row>
    <row r="633">
      <c r="G633" s="26"/>
    </row>
    <row r="634">
      <c r="G634" s="26"/>
    </row>
    <row r="635">
      <c r="G635" s="26"/>
    </row>
    <row r="636">
      <c r="G636" s="26"/>
    </row>
    <row r="637">
      <c r="G637" s="26"/>
    </row>
    <row r="638">
      <c r="G638" s="26"/>
    </row>
    <row r="639">
      <c r="G639" s="26"/>
    </row>
    <row r="640">
      <c r="G640" s="26"/>
    </row>
    <row r="641">
      <c r="G641" s="26"/>
    </row>
    <row r="642">
      <c r="G642" s="26"/>
    </row>
    <row r="643">
      <c r="G643" s="26"/>
    </row>
    <row r="644">
      <c r="G644" s="26"/>
    </row>
    <row r="645">
      <c r="G645" s="26"/>
    </row>
    <row r="646">
      <c r="G646" s="26"/>
    </row>
    <row r="647">
      <c r="G647" s="26"/>
    </row>
    <row r="648">
      <c r="G648" s="26"/>
    </row>
    <row r="649">
      <c r="G649" s="26"/>
    </row>
    <row r="650">
      <c r="G650" s="26"/>
    </row>
    <row r="651">
      <c r="G651" s="26"/>
    </row>
    <row r="652">
      <c r="G652" s="26"/>
    </row>
    <row r="653">
      <c r="G653" s="26"/>
    </row>
    <row r="654">
      <c r="G654" s="26"/>
    </row>
    <row r="655">
      <c r="G655" s="26"/>
    </row>
    <row r="656">
      <c r="G656" s="26"/>
    </row>
    <row r="657">
      <c r="G657" s="26"/>
    </row>
    <row r="658">
      <c r="G658" s="26"/>
    </row>
    <row r="659">
      <c r="G659" s="26"/>
    </row>
    <row r="660">
      <c r="G660" s="26"/>
    </row>
    <row r="661">
      <c r="G661" s="26"/>
    </row>
    <row r="662">
      <c r="G662" s="26"/>
    </row>
    <row r="663">
      <c r="G663" s="26"/>
    </row>
    <row r="664">
      <c r="G664" s="26"/>
    </row>
    <row r="665">
      <c r="G665" s="26"/>
    </row>
    <row r="666">
      <c r="G666" s="26"/>
    </row>
    <row r="667">
      <c r="G667" s="26"/>
    </row>
    <row r="668">
      <c r="G668" s="26"/>
    </row>
    <row r="669">
      <c r="G669" s="26"/>
    </row>
    <row r="670">
      <c r="G670" s="26"/>
    </row>
    <row r="671">
      <c r="G671" s="26"/>
    </row>
    <row r="672">
      <c r="G672" s="26"/>
    </row>
    <row r="673">
      <c r="G673" s="26"/>
    </row>
    <row r="674">
      <c r="G674" s="26"/>
    </row>
    <row r="675">
      <c r="G675" s="26"/>
    </row>
    <row r="676">
      <c r="G676" s="26"/>
    </row>
    <row r="677">
      <c r="G677" s="26"/>
    </row>
    <row r="678">
      <c r="G678" s="26"/>
    </row>
    <row r="679">
      <c r="G679" s="26"/>
    </row>
    <row r="680">
      <c r="G680" s="26"/>
    </row>
    <row r="681">
      <c r="G681" s="26"/>
    </row>
    <row r="682">
      <c r="G682" s="26"/>
    </row>
    <row r="683">
      <c r="G683" s="26"/>
    </row>
    <row r="684">
      <c r="G684" s="26"/>
    </row>
    <row r="685">
      <c r="G685" s="26"/>
    </row>
    <row r="686">
      <c r="G686" s="26"/>
    </row>
    <row r="687">
      <c r="G687" s="26"/>
    </row>
    <row r="688">
      <c r="G688" s="26"/>
    </row>
    <row r="689">
      <c r="G689" s="26"/>
    </row>
    <row r="690">
      <c r="G690" s="26"/>
    </row>
    <row r="691">
      <c r="G691" s="26"/>
    </row>
    <row r="692">
      <c r="G692" s="26"/>
    </row>
    <row r="693">
      <c r="G693" s="26"/>
    </row>
    <row r="694">
      <c r="G694" s="26"/>
    </row>
    <row r="695">
      <c r="G695" s="26"/>
    </row>
    <row r="696">
      <c r="G696" s="26"/>
    </row>
    <row r="697">
      <c r="G697" s="26"/>
    </row>
    <row r="698">
      <c r="G698" s="26"/>
    </row>
    <row r="699">
      <c r="G699" s="26"/>
    </row>
    <row r="700">
      <c r="G700" s="26"/>
    </row>
    <row r="701">
      <c r="G701" s="26"/>
    </row>
    <row r="702">
      <c r="G702" s="26"/>
    </row>
    <row r="703">
      <c r="G703" s="26"/>
    </row>
    <row r="704">
      <c r="G704" s="26"/>
    </row>
    <row r="705">
      <c r="G705" s="26"/>
    </row>
    <row r="706">
      <c r="G706" s="26"/>
    </row>
    <row r="707">
      <c r="G707" s="26"/>
    </row>
    <row r="708">
      <c r="G708" s="26"/>
    </row>
    <row r="709">
      <c r="G709" s="26"/>
    </row>
    <row r="710">
      <c r="G710" s="26"/>
    </row>
    <row r="711">
      <c r="G711" s="26"/>
    </row>
    <row r="712">
      <c r="G712" s="26"/>
    </row>
    <row r="713">
      <c r="G713" s="26"/>
    </row>
    <row r="714">
      <c r="G714" s="26"/>
    </row>
    <row r="715">
      <c r="G715" s="26"/>
    </row>
    <row r="716">
      <c r="G716" s="26"/>
    </row>
    <row r="717">
      <c r="G717" s="26"/>
    </row>
    <row r="718">
      <c r="G718" s="26"/>
    </row>
    <row r="719">
      <c r="G719" s="26"/>
    </row>
    <row r="720">
      <c r="G720" s="26"/>
    </row>
    <row r="721">
      <c r="G721" s="26"/>
    </row>
    <row r="722">
      <c r="G722" s="26"/>
    </row>
    <row r="723">
      <c r="G723" s="26"/>
    </row>
    <row r="724">
      <c r="G724" s="26"/>
    </row>
    <row r="725">
      <c r="G725" s="26"/>
    </row>
    <row r="726">
      <c r="G726" s="26"/>
    </row>
    <row r="727">
      <c r="G727" s="26"/>
    </row>
    <row r="728">
      <c r="G728" s="26"/>
    </row>
    <row r="729">
      <c r="G729" s="26"/>
    </row>
    <row r="730">
      <c r="G730" s="26"/>
    </row>
    <row r="731">
      <c r="G731" s="26"/>
    </row>
    <row r="732">
      <c r="G732" s="26"/>
    </row>
    <row r="733">
      <c r="G733" s="26"/>
    </row>
    <row r="734">
      <c r="G734" s="26"/>
    </row>
    <row r="735">
      <c r="G735" s="26"/>
    </row>
    <row r="736">
      <c r="G736" s="26"/>
    </row>
    <row r="737">
      <c r="G737" s="26"/>
    </row>
    <row r="738">
      <c r="G738" s="26"/>
    </row>
    <row r="739">
      <c r="G739" s="26"/>
    </row>
    <row r="740">
      <c r="G740" s="26"/>
    </row>
    <row r="741">
      <c r="G741" s="26"/>
    </row>
    <row r="742">
      <c r="G742" s="26"/>
    </row>
    <row r="743">
      <c r="G743" s="26"/>
    </row>
    <row r="744">
      <c r="G744" s="26"/>
    </row>
    <row r="745">
      <c r="G745" s="26"/>
    </row>
    <row r="746">
      <c r="G746" s="26"/>
    </row>
    <row r="747">
      <c r="G747" s="26"/>
    </row>
    <row r="748">
      <c r="G748" s="26"/>
    </row>
    <row r="749">
      <c r="G749" s="26"/>
    </row>
    <row r="750">
      <c r="G750" s="26"/>
    </row>
    <row r="751">
      <c r="G751" s="26"/>
    </row>
    <row r="752">
      <c r="G752" s="26"/>
    </row>
    <row r="753">
      <c r="G753" s="26"/>
    </row>
    <row r="754">
      <c r="G754" s="26"/>
    </row>
    <row r="755">
      <c r="G755" s="26"/>
    </row>
    <row r="756">
      <c r="G756" s="26"/>
    </row>
    <row r="757">
      <c r="G757" s="26"/>
    </row>
    <row r="758">
      <c r="G758" s="26"/>
    </row>
    <row r="759">
      <c r="G759" s="26"/>
    </row>
    <row r="760">
      <c r="G760" s="26"/>
    </row>
    <row r="761">
      <c r="G761" s="26"/>
    </row>
    <row r="762">
      <c r="G762" s="26"/>
    </row>
    <row r="763">
      <c r="G763" s="26"/>
    </row>
    <row r="764">
      <c r="G764" s="26"/>
    </row>
    <row r="765">
      <c r="G765" s="26"/>
    </row>
    <row r="766">
      <c r="G766" s="26"/>
    </row>
    <row r="767">
      <c r="G767" s="26"/>
    </row>
    <row r="768">
      <c r="G768" s="26"/>
    </row>
    <row r="769">
      <c r="G769" s="26"/>
    </row>
    <row r="770">
      <c r="G770" s="26"/>
    </row>
    <row r="771">
      <c r="G771" s="26"/>
    </row>
    <row r="772">
      <c r="G772" s="26"/>
    </row>
    <row r="773">
      <c r="G773" s="26"/>
    </row>
    <row r="774">
      <c r="G774" s="26"/>
    </row>
    <row r="775">
      <c r="G775" s="26"/>
    </row>
    <row r="776">
      <c r="G776" s="26"/>
    </row>
    <row r="777">
      <c r="G777" s="26"/>
    </row>
    <row r="778">
      <c r="G778" s="26"/>
    </row>
    <row r="779">
      <c r="G779" s="26"/>
    </row>
    <row r="780">
      <c r="G780" s="26"/>
    </row>
    <row r="781">
      <c r="G781" s="26"/>
    </row>
    <row r="782">
      <c r="G782" s="26"/>
    </row>
    <row r="783">
      <c r="G783" s="26"/>
    </row>
    <row r="784">
      <c r="G784" s="26"/>
    </row>
    <row r="785">
      <c r="G785" s="26"/>
    </row>
    <row r="786">
      <c r="G786" s="26"/>
    </row>
    <row r="787">
      <c r="G787" s="26"/>
    </row>
    <row r="788">
      <c r="G788" s="26"/>
    </row>
    <row r="789">
      <c r="G789" s="26"/>
    </row>
    <row r="790">
      <c r="G790" s="26"/>
    </row>
    <row r="791">
      <c r="G791" s="26"/>
    </row>
    <row r="792">
      <c r="G792" s="26"/>
    </row>
    <row r="793">
      <c r="G793" s="26"/>
    </row>
    <row r="794">
      <c r="G794" s="26"/>
    </row>
    <row r="795">
      <c r="G795" s="26"/>
    </row>
    <row r="796">
      <c r="G796" s="26"/>
    </row>
    <row r="797">
      <c r="G797" s="26"/>
    </row>
    <row r="798">
      <c r="G798" s="26"/>
    </row>
    <row r="799">
      <c r="G799" s="26"/>
    </row>
    <row r="800">
      <c r="G800" s="26"/>
    </row>
    <row r="801">
      <c r="G801" s="26"/>
    </row>
    <row r="802">
      <c r="G802" s="26"/>
    </row>
    <row r="803">
      <c r="G803" s="26"/>
    </row>
    <row r="804">
      <c r="G804" s="26"/>
    </row>
    <row r="805">
      <c r="G805" s="26"/>
    </row>
    <row r="806">
      <c r="G806" s="26"/>
    </row>
    <row r="807">
      <c r="G807" s="26"/>
    </row>
    <row r="808">
      <c r="G808" s="26"/>
    </row>
    <row r="809">
      <c r="G809" s="26"/>
    </row>
    <row r="810">
      <c r="G810" s="26"/>
    </row>
    <row r="811">
      <c r="G811" s="26"/>
    </row>
    <row r="812">
      <c r="G812" s="26"/>
    </row>
    <row r="813">
      <c r="G813" s="26"/>
    </row>
    <row r="814">
      <c r="G814" s="26"/>
    </row>
    <row r="815">
      <c r="G815" s="26"/>
    </row>
    <row r="816">
      <c r="G816" s="26"/>
    </row>
    <row r="817">
      <c r="G817" s="26"/>
    </row>
    <row r="818">
      <c r="G818" s="26"/>
    </row>
    <row r="819">
      <c r="G819" s="26"/>
    </row>
    <row r="820">
      <c r="G820" s="26"/>
    </row>
    <row r="821">
      <c r="G821" s="26"/>
    </row>
    <row r="822">
      <c r="G822" s="26"/>
    </row>
    <row r="823">
      <c r="G823" s="26"/>
    </row>
    <row r="824">
      <c r="G824" s="26"/>
    </row>
    <row r="825">
      <c r="G825" s="26"/>
    </row>
    <row r="826">
      <c r="G826" s="26"/>
    </row>
    <row r="827">
      <c r="G827" s="26"/>
    </row>
    <row r="828">
      <c r="G828" s="26"/>
    </row>
    <row r="829">
      <c r="G829" s="26"/>
    </row>
    <row r="830">
      <c r="G830" s="26"/>
    </row>
    <row r="831">
      <c r="G831" s="26"/>
    </row>
    <row r="832">
      <c r="G832" s="26"/>
    </row>
    <row r="833">
      <c r="G833" s="26"/>
    </row>
    <row r="834">
      <c r="G834" s="26"/>
    </row>
    <row r="835">
      <c r="G835" s="26"/>
    </row>
    <row r="836">
      <c r="G836" s="26"/>
    </row>
    <row r="837">
      <c r="G837" s="26"/>
    </row>
    <row r="838">
      <c r="G838" s="26"/>
    </row>
    <row r="839">
      <c r="G839" s="26"/>
    </row>
    <row r="840">
      <c r="G840" s="26"/>
    </row>
    <row r="841">
      <c r="G841" s="26"/>
    </row>
    <row r="842">
      <c r="G842" s="26"/>
    </row>
    <row r="843">
      <c r="G843" s="26"/>
    </row>
    <row r="844">
      <c r="G844" s="26"/>
    </row>
    <row r="845">
      <c r="G845" s="26"/>
    </row>
    <row r="846">
      <c r="G846" s="26"/>
    </row>
    <row r="847">
      <c r="G847" s="26"/>
    </row>
    <row r="848">
      <c r="G848" s="26"/>
    </row>
    <row r="849">
      <c r="G849" s="26"/>
    </row>
    <row r="850">
      <c r="G850" s="26"/>
    </row>
    <row r="851">
      <c r="G851" s="26"/>
    </row>
    <row r="852">
      <c r="G852" s="26"/>
    </row>
    <row r="853">
      <c r="G853" s="26"/>
    </row>
    <row r="854">
      <c r="G854" s="26"/>
    </row>
    <row r="855">
      <c r="G855" s="26"/>
    </row>
    <row r="856">
      <c r="G856" s="26"/>
    </row>
    <row r="857">
      <c r="G857" s="26"/>
    </row>
    <row r="858">
      <c r="G858" s="26"/>
    </row>
    <row r="859">
      <c r="G859" s="26"/>
    </row>
    <row r="860">
      <c r="G860" s="26"/>
    </row>
    <row r="861">
      <c r="G861" s="26"/>
    </row>
    <row r="862">
      <c r="G862" s="26"/>
    </row>
    <row r="863">
      <c r="G863" s="26"/>
    </row>
    <row r="864">
      <c r="G864" s="26"/>
    </row>
    <row r="865">
      <c r="G865" s="26"/>
    </row>
    <row r="866">
      <c r="G866" s="26"/>
    </row>
    <row r="867">
      <c r="G867" s="26"/>
    </row>
    <row r="868">
      <c r="G868" s="26"/>
    </row>
    <row r="869">
      <c r="G869" s="26"/>
    </row>
    <row r="870">
      <c r="G870" s="26"/>
    </row>
    <row r="871">
      <c r="G871" s="26"/>
    </row>
    <row r="872">
      <c r="G872" s="26"/>
    </row>
    <row r="873">
      <c r="G873" s="26"/>
    </row>
    <row r="874">
      <c r="G874" s="26"/>
    </row>
    <row r="875">
      <c r="G875" s="26"/>
    </row>
    <row r="876">
      <c r="G876" s="26"/>
    </row>
    <row r="877">
      <c r="G877" s="26"/>
    </row>
    <row r="878">
      <c r="G878" s="26"/>
    </row>
    <row r="879">
      <c r="G879" s="26"/>
    </row>
    <row r="880">
      <c r="G880" s="26"/>
    </row>
    <row r="881">
      <c r="G881" s="26"/>
    </row>
    <row r="882">
      <c r="G882" s="26"/>
    </row>
    <row r="883">
      <c r="G883" s="26"/>
    </row>
    <row r="884">
      <c r="G884" s="26"/>
    </row>
    <row r="885">
      <c r="G885" s="26"/>
    </row>
    <row r="886">
      <c r="G886" s="26"/>
    </row>
    <row r="887">
      <c r="G887" s="26"/>
    </row>
    <row r="888">
      <c r="G888" s="26"/>
    </row>
    <row r="889">
      <c r="G889" s="26"/>
    </row>
    <row r="890">
      <c r="G890" s="26"/>
    </row>
    <row r="891">
      <c r="G891" s="26"/>
    </row>
    <row r="892">
      <c r="G892" s="26"/>
    </row>
    <row r="893">
      <c r="G893" s="26"/>
    </row>
    <row r="894">
      <c r="G894" s="26"/>
    </row>
    <row r="895">
      <c r="G895" s="26"/>
    </row>
    <row r="896">
      <c r="G896" s="26"/>
    </row>
    <row r="897">
      <c r="G897" s="26"/>
    </row>
    <row r="898">
      <c r="G898" s="26"/>
    </row>
    <row r="899">
      <c r="G899" s="26"/>
    </row>
    <row r="900">
      <c r="G900" s="26"/>
    </row>
    <row r="901">
      <c r="G901" s="26"/>
    </row>
    <row r="902">
      <c r="G902" s="26"/>
    </row>
    <row r="903">
      <c r="G903" s="26"/>
    </row>
    <row r="904">
      <c r="G904" s="26"/>
    </row>
    <row r="905">
      <c r="G905" s="26"/>
    </row>
    <row r="906">
      <c r="G906" s="26"/>
    </row>
    <row r="907">
      <c r="G907" s="26"/>
    </row>
    <row r="908">
      <c r="G908" s="26"/>
    </row>
    <row r="909">
      <c r="G909" s="26"/>
    </row>
    <row r="910">
      <c r="G910" s="26"/>
    </row>
    <row r="911">
      <c r="G911" s="26"/>
    </row>
    <row r="912">
      <c r="G912" s="26"/>
    </row>
    <row r="913">
      <c r="G913" s="26"/>
    </row>
    <row r="914">
      <c r="G914" s="26"/>
    </row>
    <row r="915">
      <c r="G915" s="26"/>
    </row>
    <row r="916">
      <c r="G916" s="26"/>
    </row>
    <row r="917">
      <c r="G917" s="26"/>
    </row>
    <row r="918">
      <c r="G918" s="26"/>
    </row>
    <row r="919">
      <c r="G919" s="26"/>
    </row>
    <row r="920">
      <c r="G920" s="26"/>
    </row>
    <row r="921">
      <c r="G921" s="26"/>
    </row>
    <row r="922">
      <c r="G922" s="26"/>
    </row>
    <row r="923">
      <c r="G923" s="26"/>
    </row>
    <row r="924">
      <c r="G924" s="26"/>
    </row>
    <row r="925">
      <c r="G925" s="26"/>
    </row>
    <row r="926">
      <c r="G926" s="26"/>
    </row>
    <row r="927">
      <c r="G927" s="26"/>
    </row>
    <row r="928">
      <c r="G928" s="26"/>
    </row>
    <row r="929">
      <c r="G929" s="26"/>
    </row>
    <row r="930">
      <c r="G930" s="26"/>
    </row>
    <row r="931">
      <c r="G931" s="26"/>
    </row>
    <row r="932">
      <c r="G932" s="26"/>
    </row>
    <row r="933">
      <c r="G933" s="26"/>
    </row>
    <row r="934">
      <c r="G934" s="26"/>
    </row>
    <row r="935">
      <c r="G935" s="26"/>
    </row>
    <row r="936">
      <c r="G936" s="26"/>
    </row>
    <row r="937">
      <c r="G937" s="26"/>
    </row>
    <row r="938">
      <c r="G938" s="26"/>
    </row>
    <row r="939">
      <c r="G939" s="26"/>
    </row>
    <row r="940">
      <c r="G940" s="26"/>
    </row>
    <row r="941">
      <c r="G941" s="26"/>
    </row>
    <row r="942">
      <c r="G942" s="26"/>
    </row>
    <row r="943">
      <c r="G943" s="26"/>
    </row>
    <row r="944">
      <c r="G944" s="26"/>
    </row>
    <row r="945">
      <c r="G945" s="26"/>
    </row>
    <row r="946">
      <c r="G946" s="26"/>
    </row>
    <row r="947">
      <c r="G947" s="26"/>
    </row>
    <row r="948">
      <c r="G948" s="26"/>
    </row>
    <row r="949">
      <c r="G949" s="26"/>
    </row>
    <row r="950">
      <c r="G950" s="26"/>
    </row>
    <row r="951">
      <c r="G951" s="26"/>
    </row>
    <row r="952">
      <c r="G952" s="26"/>
    </row>
    <row r="953">
      <c r="G953" s="26"/>
    </row>
    <row r="954">
      <c r="G954" s="26"/>
    </row>
    <row r="955">
      <c r="G955" s="26"/>
    </row>
    <row r="956">
      <c r="G956" s="26"/>
    </row>
    <row r="957">
      <c r="G957" s="26"/>
    </row>
    <row r="958">
      <c r="G958" s="26"/>
    </row>
    <row r="959">
      <c r="G959" s="26"/>
    </row>
    <row r="960">
      <c r="G960" s="26"/>
    </row>
    <row r="961">
      <c r="G961" s="26"/>
    </row>
    <row r="962">
      <c r="G962" s="26"/>
    </row>
    <row r="963">
      <c r="G963" s="26"/>
    </row>
    <row r="964">
      <c r="G964" s="26"/>
    </row>
    <row r="965">
      <c r="G965" s="26"/>
    </row>
    <row r="966">
      <c r="G966" s="26"/>
    </row>
    <row r="967">
      <c r="G967" s="26"/>
    </row>
    <row r="968">
      <c r="G968" s="26"/>
    </row>
    <row r="969">
      <c r="G969" s="26"/>
    </row>
    <row r="970">
      <c r="G970" s="26"/>
    </row>
    <row r="971">
      <c r="G971" s="26"/>
    </row>
    <row r="972">
      <c r="G972" s="26"/>
    </row>
    <row r="973">
      <c r="G973" s="26"/>
    </row>
    <row r="974">
      <c r="G974" s="26"/>
    </row>
    <row r="975">
      <c r="G975" s="26"/>
    </row>
    <row r="976">
      <c r="G976" s="26"/>
    </row>
    <row r="977">
      <c r="G977" s="26"/>
    </row>
    <row r="978">
      <c r="G978" s="26"/>
    </row>
    <row r="979">
      <c r="G979" s="26"/>
    </row>
    <row r="980">
      <c r="G980" s="26"/>
    </row>
    <row r="981">
      <c r="G981" s="26"/>
    </row>
    <row r="982">
      <c r="G982" s="26"/>
    </row>
    <row r="983">
      <c r="G983" s="26"/>
    </row>
    <row r="984">
      <c r="G984" s="26"/>
    </row>
    <row r="985">
      <c r="G985" s="26"/>
    </row>
    <row r="986">
      <c r="G986" s="26"/>
    </row>
    <row r="987">
      <c r="G987" s="26"/>
    </row>
    <row r="988">
      <c r="G988" s="26"/>
    </row>
    <row r="989">
      <c r="G989" s="26"/>
    </row>
    <row r="990">
      <c r="G990" s="26"/>
    </row>
    <row r="991">
      <c r="G991" s="26"/>
    </row>
    <row r="992">
      <c r="G992" s="26"/>
    </row>
    <row r="993">
      <c r="G993" s="26"/>
    </row>
    <row r="994">
      <c r="G994" s="26"/>
    </row>
    <row r="995">
      <c r="G995" s="26"/>
    </row>
    <row r="996">
      <c r="G996" s="26"/>
    </row>
    <row r="997">
      <c r="G997" s="26"/>
    </row>
    <row r="998">
      <c r="G998" s="26"/>
    </row>
    <row r="999">
      <c r="G999" s="26"/>
    </row>
  </sheetData>
  <autoFilter ref="$A$1:$G$19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9E0B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2.0"/>
    <col customWidth="1" min="2" max="2" width="12.38"/>
    <col customWidth="1" min="3" max="3" width="10.38"/>
    <col customWidth="1" min="4" max="4" width="10.25"/>
    <col customWidth="1" min="5" max="5" width="11.63"/>
    <col customWidth="1" min="6" max="6" width="8.38"/>
    <col customWidth="1" min="7" max="7" width="12.63"/>
    <col customWidth="1" min="8" max="8" width="12.25"/>
  </cols>
  <sheetData>
    <row r="1">
      <c r="A1" s="27" t="s">
        <v>5</v>
      </c>
      <c r="B1" s="27" t="s">
        <v>6</v>
      </c>
      <c r="C1" s="27" t="s">
        <v>13</v>
      </c>
      <c r="D1" s="27" t="s">
        <v>804</v>
      </c>
      <c r="E1" s="27" t="s">
        <v>10</v>
      </c>
      <c r="F1" s="27" t="s">
        <v>9</v>
      </c>
      <c r="G1" s="27" t="s">
        <v>805</v>
      </c>
      <c r="H1" s="27" t="s">
        <v>806</v>
      </c>
    </row>
  </sheetData>
  <autoFilter ref="$A$1:$H$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9E0B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2.0"/>
    <col customWidth="1" min="2" max="2" width="12.38"/>
    <col customWidth="1" min="3" max="3" width="12.13"/>
    <col customWidth="1" min="4" max="4" width="7.38"/>
    <col customWidth="1" min="5" max="6" width="8.38"/>
    <col customWidth="1" min="7" max="7" width="10.5"/>
    <col customWidth="1" min="8" max="8" width="11.63"/>
    <col customWidth="1" min="9" max="9" width="11.88"/>
  </cols>
  <sheetData>
    <row r="1">
      <c r="A1" s="27" t="s">
        <v>5</v>
      </c>
      <c r="B1" s="27" t="s">
        <v>6</v>
      </c>
      <c r="C1" s="27" t="s">
        <v>888</v>
      </c>
      <c r="D1" s="27" t="s">
        <v>889</v>
      </c>
      <c r="E1" s="27" t="s">
        <v>891</v>
      </c>
      <c r="F1" s="27" t="s">
        <v>9</v>
      </c>
      <c r="G1" s="27" t="s">
        <v>892</v>
      </c>
      <c r="H1" s="27" t="s">
        <v>10</v>
      </c>
      <c r="I1" s="27" t="s">
        <v>890</v>
      </c>
    </row>
  </sheetData>
  <autoFilter ref="$A$1:$I$1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563EB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hidden="1" min="1" max="1" width="23.63"/>
    <col customWidth="1" min="2" max="2" width="8.0"/>
    <col customWidth="1" min="3" max="4" width="12.0"/>
    <col customWidth="1" min="5" max="5" width="12.38"/>
    <col customWidth="1" min="6" max="7" width="10.38"/>
    <col customWidth="1" min="8" max="8" width="7.63"/>
    <col customWidth="1" min="9" max="9" width="12.63"/>
    <col customWidth="1" min="10" max="10" width="18.88"/>
    <col customWidth="1" hidden="1" min="11" max="11" width="43.63"/>
    <col customWidth="1" hidden="1" min="12" max="12" width="11.88"/>
    <col customWidth="1" hidden="1" min="13" max="13" width="39.5"/>
    <col customWidth="1" hidden="1" min="14" max="14" width="11.13"/>
    <col customWidth="1" hidden="1" min="15" max="15" width="11.5"/>
    <col customWidth="1" hidden="1" min="16" max="16" width="12.0"/>
    <col customWidth="1" hidden="1" min="17" max="17" width="36.13"/>
    <col customWidth="1" hidden="1" min="18" max="18" width="18.63"/>
    <col customWidth="1" hidden="1" min="19" max="19" width="12.13"/>
    <col customWidth="1" hidden="1" min="20" max="20" width="12.0"/>
    <col customWidth="1" hidden="1" min="21" max="21" width="32.88"/>
  </cols>
  <sheetData>
    <row r="1">
      <c r="A1" s="28" t="s">
        <v>0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13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12</v>
      </c>
      <c r="L1" s="28" t="s">
        <v>143</v>
      </c>
      <c r="M1" s="28" t="s">
        <v>144</v>
      </c>
      <c r="N1" s="28" t="s">
        <v>1</v>
      </c>
      <c r="O1" s="28" t="s">
        <v>2</v>
      </c>
      <c r="P1" s="28" t="s">
        <v>11</v>
      </c>
      <c r="Q1" s="28" t="s">
        <v>14</v>
      </c>
      <c r="R1" s="28" t="s">
        <v>942</v>
      </c>
      <c r="S1" s="28" t="s">
        <v>145</v>
      </c>
      <c r="T1" s="28" t="s">
        <v>146</v>
      </c>
      <c r="U1" s="28" t="s">
        <v>147</v>
      </c>
    </row>
    <row r="2">
      <c r="A2" s="2" t="s">
        <v>943</v>
      </c>
      <c r="B2" s="2" t="s">
        <v>17</v>
      </c>
      <c r="C2" s="4">
        <v>2025.0</v>
      </c>
      <c r="D2" s="4">
        <v>1.0</v>
      </c>
      <c r="E2" s="3">
        <v>46010.0</v>
      </c>
      <c r="F2" s="4">
        <v>1.0</v>
      </c>
      <c r="G2" s="5">
        <v>11887.0</v>
      </c>
      <c r="H2" s="5">
        <v>3244.0</v>
      </c>
      <c r="I2" s="5">
        <v>3.855888E7</v>
      </c>
      <c r="J2" s="2" t="s">
        <v>944</v>
      </c>
      <c r="K2" s="4" t="s">
        <v>945</v>
      </c>
      <c r="L2" s="3">
        <v>46183.422847222224</v>
      </c>
      <c r="M2" s="2" t="s">
        <v>946</v>
      </c>
      <c r="N2" s="29"/>
      <c r="O2" s="29"/>
      <c r="S2" s="30"/>
      <c r="T2" s="30"/>
    </row>
    <row r="3">
      <c r="A3" s="2" t="s">
        <v>947</v>
      </c>
      <c r="B3" s="2" t="s">
        <v>17</v>
      </c>
      <c r="C3" s="4">
        <v>2025.0</v>
      </c>
      <c r="D3" s="4">
        <v>1.0</v>
      </c>
      <c r="E3" s="3">
        <v>46044.0</v>
      </c>
      <c r="F3" s="4">
        <v>2.0</v>
      </c>
      <c r="G3" s="5">
        <v>14299.0</v>
      </c>
      <c r="H3" s="5">
        <v>2941.0</v>
      </c>
      <c r="I3" s="5">
        <v>4.205638E7</v>
      </c>
      <c r="J3" s="2" t="s">
        <v>948</v>
      </c>
      <c r="K3" s="4" t="s">
        <v>945</v>
      </c>
      <c r="L3" s="3">
        <v>46183.422847222224</v>
      </c>
      <c r="M3" s="2" t="s">
        <v>946</v>
      </c>
      <c r="N3" s="29"/>
      <c r="O3" s="29"/>
      <c r="S3" s="30"/>
      <c r="T3" s="30"/>
    </row>
    <row r="4">
      <c r="A4" s="2" t="s">
        <v>949</v>
      </c>
      <c r="B4" s="2" t="s">
        <v>17</v>
      </c>
      <c r="C4" s="4">
        <v>2025.0</v>
      </c>
      <c r="D4" s="4">
        <v>2.0</v>
      </c>
      <c r="E4" s="3">
        <v>46055.0</v>
      </c>
      <c r="F4" s="4">
        <v>1.0</v>
      </c>
      <c r="G4" s="5">
        <v>11609.0</v>
      </c>
      <c r="H4" s="5">
        <v>2879.0</v>
      </c>
      <c r="I4" s="5">
        <v>3.34184E7</v>
      </c>
      <c r="J4" s="2" t="s">
        <v>950</v>
      </c>
      <c r="K4" s="4" t="s">
        <v>945</v>
      </c>
      <c r="L4" s="3">
        <v>46183.422847222224</v>
      </c>
      <c r="M4" s="2" t="s">
        <v>946</v>
      </c>
      <c r="N4" s="29"/>
      <c r="O4" s="29"/>
      <c r="S4" s="30"/>
      <c r="T4" s="30"/>
    </row>
    <row r="5">
      <c r="A5" s="2" t="s">
        <v>951</v>
      </c>
      <c r="B5" s="2" t="s">
        <v>17</v>
      </c>
      <c r="C5" s="4">
        <v>2025.0</v>
      </c>
      <c r="D5" s="4">
        <v>2.0</v>
      </c>
      <c r="E5" s="3">
        <v>46069.0</v>
      </c>
      <c r="F5" s="4">
        <v>2.0</v>
      </c>
      <c r="G5" s="5">
        <v>13123.0</v>
      </c>
      <c r="H5" s="5">
        <v>3078.0</v>
      </c>
      <c r="I5" s="5">
        <v>4.039487E7</v>
      </c>
      <c r="J5" s="2" t="s">
        <v>952</v>
      </c>
      <c r="K5" s="4" t="s">
        <v>945</v>
      </c>
      <c r="L5" s="3">
        <v>46183.422847222224</v>
      </c>
      <c r="M5" s="2" t="s">
        <v>946</v>
      </c>
      <c r="N5" s="29"/>
      <c r="O5" s="29"/>
      <c r="S5" s="30"/>
      <c r="T5" s="30"/>
    </row>
    <row r="6">
      <c r="A6" s="2" t="s">
        <v>953</v>
      </c>
      <c r="B6" s="2" t="s">
        <v>17</v>
      </c>
      <c r="C6" s="4">
        <v>2025.0</v>
      </c>
      <c r="D6" s="4">
        <v>3.0</v>
      </c>
      <c r="E6" s="3">
        <v>46085.0</v>
      </c>
      <c r="F6" s="4">
        <v>1.0</v>
      </c>
      <c r="G6" s="5">
        <v>14724.0</v>
      </c>
      <c r="H6" s="5">
        <v>3351.0</v>
      </c>
      <c r="I6" s="5">
        <v>4.933856E7</v>
      </c>
      <c r="J6" s="2" t="s">
        <v>954</v>
      </c>
      <c r="K6" s="4" t="s">
        <v>945</v>
      </c>
      <c r="L6" s="3">
        <v>46183.422847222224</v>
      </c>
      <c r="M6" s="2" t="s">
        <v>946</v>
      </c>
      <c r="N6" s="29"/>
      <c r="O6" s="29"/>
      <c r="S6" s="30"/>
      <c r="T6" s="30"/>
    </row>
    <row r="7">
      <c r="A7" s="2" t="s">
        <v>955</v>
      </c>
      <c r="B7" s="2" t="s">
        <v>17</v>
      </c>
      <c r="C7" s="4">
        <v>2025.0</v>
      </c>
      <c r="D7" s="4">
        <v>3.0</v>
      </c>
      <c r="E7" s="3">
        <v>46099.0</v>
      </c>
      <c r="F7" s="4">
        <v>2.0</v>
      </c>
      <c r="G7" s="5">
        <v>13832.0</v>
      </c>
      <c r="H7" s="5">
        <v>3335.0</v>
      </c>
      <c r="I7" s="5">
        <v>4.613494E7</v>
      </c>
      <c r="J7" s="2" t="s">
        <v>956</v>
      </c>
      <c r="K7" s="4" t="s">
        <v>945</v>
      </c>
      <c r="L7" s="3">
        <v>46183.422847222224</v>
      </c>
      <c r="M7" s="2" t="s">
        <v>946</v>
      </c>
      <c r="N7" s="29"/>
      <c r="O7" s="29"/>
      <c r="S7" s="30"/>
      <c r="T7" s="30"/>
    </row>
    <row r="8">
      <c r="A8" s="2" t="s">
        <v>957</v>
      </c>
      <c r="B8" s="2" t="s">
        <v>17</v>
      </c>
      <c r="C8" s="4">
        <v>2025.0</v>
      </c>
      <c r="D8" s="4">
        <v>4.0</v>
      </c>
      <c r="E8" s="3">
        <v>46113.0</v>
      </c>
      <c r="F8" s="4">
        <v>1.0</v>
      </c>
      <c r="G8" s="5">
        <v>24197.0</v>
      </c>
      <c r="H8" s="5">
        <v>3170.0</v>
      </c>
      <c r="I8" s="5">
        <v>7.671009E7</v>
      </c>
      <c r="J8" s="2" t="s">
        <v>958</v>
      </c>
      <c r="K8" s="4" t="s">
        <v>945</v>
      </c>
      <c r="L8" s="3">
        <v>46183.422847222224</v>
      </c>
      <c r="M8" s="2" t="s">
        <v>946</v>
      </c>
      <c r="N8" s="29"/>
      <c r="O8" s="29"/>
      <c r="S8" s="30"/>
      <c r="T8" s="30"/>
    </row>
    <row r="9">
      <c r="A9" s="2" t="s">
        <v>959</v>
      </c>
      <c r="B9" s="2" t="s">
        <v>17</v>
      </c>
      <c r="C9" s="4">
        <v>2025.0</v>
      </c>
      <c r="D9" s="4">
        <v>4.0</v>
      </c>
      <c r="E9" s="3">
        <v>46120.0</v>
      </c>
      <c r="F9" s="4">
        <v>2.0</v>
      </c>
      <c r="G9" s="5">
        <v>33431.0</v>
      </c>
      <c r="H9" s="5">
        <v>3036.0</v>
      </c>
      <c r="I9" s="5">
        <v>1.0150305E8</v>
      </c>
      <c r="J9" s="2" t="s">
        <v>960</v>
      </c>
      <c r="K9" s="4" t="s">
        <v>945</v>
      </c>
      <c r="L9" s="3">
        <v>46183.422847222224</v>
      </c>
      <c r="M9" s="2" t="s">
        <v>946</v>
      </c>
      <c r="N9" s="29"/>
      <c r="O9" s="29"/>
      <c r="S9" s="30"/>
      <c r="T9" s="30"/>
    </row>
    <row r="10">
      <c r="A10" s="2" t="s">
        <v>961</v>
      </c>
      <c r="B10" s="2" t="s">
        <v>17</v>
      </c>
      <c r="C10" s="4">
        <v>2025.0</v>
      </c>
      <c r="D10" s="4">
        <v>5.0</v>
      </c>
      <c r="E10" s="3">
        <v>46134.0</v>
      </c>
      <c r="F10" s="4">
        <v>1.0</v>
      </c>
      <c r="G10" s="5">
        <v>23107.0</v>
      </c>
      <c r="H10" s="5">
        <v>3025.0</v>
      </c>
      <c r="I10" s="5">
        <v>6.988871E7</v>
      </c>
      <c r="J10" s="2" t="s">
        <v>962</v>
      </c>
      <c r="K10" s="4" t="s">
        <v>945</v>
      </c>
      <c r="L10" s="3">
        <v>46183.422847222224</v>
      </c>
      <c r="M10" s="2" t="s">
        <v>946</v>
      </c>
      <c r="N10" s="29"/>
      <c r="O10" s="29"/>
      <c r="S10" s="30"/>
      <c r="T10" s="30"/>
    </row>
    <row r="11">
      <c r="A11" s="2" t="s">
        <v>963</v>
      </c>
      <c r="B11" s="2" t="s">
        <v>17</v>
      </c>
      <c r="C11" s="4">
        <v>2025.0</v>
      </c>
      <c r="D11" s="4">
        <v>5.0</v>
      </c>
      <c r="E11" s="3">
        <v>46148.0</v>
      </c>
      <c r="F11" s="4">
        <v>2.0</v>
      </c>
      <c r="G11" s="5">
        <v>16806.0</v>
      </c>
      <c r="H11" s="5">
        <v>2981.0</v>
      </c>
      <c r="I11" s="5">
        <v>5.010419E7</v>
      </c>
      <c r="J11" s="2" t="s">
        <v>964</v>
      </c>
      <c r="K11" s="4" t="s">
        <v>945</v>
      </c>
      <c r="L11" s="3">
        <v>46183.422847222224</v>
      </c>
      <c r="M11" s="2" t="s">
        <v>946</v>
      </c>
      <c r="N11" s="29"/>
      <c r="O11" s="29"/>
      <c r="S11" s="30"/>
      <c r="T11" s="30"/>
    </row>
    <row r="12">
      <c r="A12" s="2" t="s">
        <v>965</v>
      </c>
      <c r="B12" s="2" t="s">
        <v>17</v>
      </c>
      <c r="C12" s="4">
        <v>2025.0</v>
      </c>
      <c r="D12" s="4">
        <v>6.0</v>
      </c>
      <c r="E12" s="3">
        <v>46187.0</v>
      </c>
      <c r="F12" s="4">
        <v>1.0</v>
      </c>
      <c r="G12" s="5">
        <v>17188.0</v>
      </c>
      <c r="H12" s="5">
        <v>2827.0</v>
      </c>
      <c r="I12" s="5">
        <v>4.859039E7</v>
      </c>
      <c r="J12" s="2" t="s">
        <v>966</v>
      </c>
      <c r="K12" s="4" t="s">
        <v>945</v>
      </c>
      <c r="L12" s="3">
        <v>46183.422847222224</v>
      </c>
      <c r="M12" s="2" t="s">
        <v>946</v>
      </c>
      <c r="N12" s="29"/>
      <c r="O12" s="29"/>
      <c r="S12" s="30"/>
      <c r="T12" s="30"/>
    </row>
    <row r="13">
      <c r="A13" s="2" t="s">
        <v>967</v>
      </c>
      <c r="B13" s="2" t="s">
        <v>17</v>
      </c>
      <c r="C13" s="4">
        <v>2025.0</v>
      </c>
      <c r="D13" s="4">
        <v>6.0</v>
      </c>
      <c r="E13" s="3">
        <v>46201.0</v>
      </c>
      <c r="F13" s="4">
        <v>2.0</v>
      </c>
      <c r="G13" s="5">
        <v>16989.0</v>
      </c>
      <c r="H13" s="5">
        <v>2899.0</v>
      </c>
      <c r="I13" s="5">
        <v>4.925297E7</v>
      </c>
      <c r="J13" s="2" t="s">
        <v>968</v>
      </c>
      <c r="K13" s="4" t="s">
        <v>945</v>
      </c>
      <c r="L13" s="3">
        <v>46183.422847222224</v>
      </c>
      <c r="M13" s="2" t="s">
        <v>946</v>
      </c>
      <c r="N13" s="29"/>
      <c r="O13" s="29"/>
      <c r="S13" s="30"/>
      <c r="T13" s="30"/>
    </row>
    <row r="14">
      <c r="A14" s="2" t="s">
        <v>969</v>
      </c>
      <c r="B14" s="2" t="s">
        <v>17</v>
      </c>
      <c r="C14" s="4">
        <v>2025.0</v>
      </c>
      <c r="D14" s="4">
        <v>7.0</v>
      </c>
      <c r="E14" s="3">
        <v>46213.0</v>
      </c>
      <c r="F14" s="4">
        <v>1.0</v>
      </c>
      <c r="G14" s="5">
        <v>17948.0</v>
      </c>
      <c r="H14" s="5">
        <v>3002.0</v>
      </c>
      <c r="I14" s="5">
        <v>5.388504E7</v>
      </c>
      <c r="J14" s="2" t="s">
        <v>970</v>
      </c>
      <c r="K14" s="4" t="s">
        <v>945</v>
      </c>
      <c r="L14" s="3">
        <v>46183.422847222224</v>
      </c>
      <c r="M14" s="2" t="s">
        <v>946</v>
      </c>
      <c r="N14" s="29"/>
      <c r="O14" s="29"/>
      <c r="S14" s="30"/>
      <c r="T14" s="30"/>
    </row>
    <row r="15">
      <c r="A15" s="2" t="s">
        <v>971</v>
      </c>
      <c r="B15" s="2" t="s">
        <v>17</v>
      </c>
      <c r="C15" s="4">
        <v>2025.0</v>
      </c>
      <c r="D15" s="4">
        <v>7.0</v>
      </c>
      <c r="E15" s="3">
        <v>46226.0</v>
      </c>
      <c r="F15" s="4">
        <v>2.0</v>
      </c>
      <c r="G15" s="5">
        <v>19270.0</v>
      </c>
      <c r="H15" s="5">
        <v>3180.0</v>
      </c>
      <c r="I15" s="5">
        <v>6.128534E7</v>
      </c>
      <c r="J15" s="2" t="s">
        <v>972</v>
      </c>
      <c r="K15" s="4" t="s">
        <v>945</v>
      </c>
      <c r="L15" s="3">
        <v>46183.422847222224</v>
      </c>
      <c r="M15" s="2" t="s">
        <v>946</v>
      </c>
      <c r="N15" s="29"/>
      <c r="O15" s="29"/>
      <c r="S15" s="30"/>
      <c r="T15" s="30"/>
    </row>
    <row r="16">
      <c r="A16" s="2" t="s">
        <v>973</v>
      </c>
      <c r="B16" s="2" t="s">
        <v>17</v>
      </c>
      <c r="C16" s="4">
        <v>2025.0</v>
      </c>
      <c r="D16" s="4">
        <v>8.0</v>
      </c>
      <c r="E16" s="3">
        <v>46240.0</v>
      </c>
      <c r="F16" s="4">
        <v>1.0</v>
      </c>
      <c r="G16" s="5">
        <v>18013.0</v>
      </c>
      <c r="H16" s="5">
        <v>3126.0</v>
      </c>
      <c r="I16" s="5">
        <v>5.630525E7</v>
      </c>
      <c r="J16" s="2" t="s">
        <v>974</v>
      </c>
      <c r="K16" s="4" t="s">
        <v>945</v>
      </c>
      <c r="L16" s="3">
        <v>46183.422847222224</v>
      </c>
      <c r="M16" s="2" t="s">
        <v>946</v>
      </c>
      <c r="N16" s="29"/>
      <c r="O16" s="29"/>
      <c r="S16" s="30"/>
      <c r="T16" s="30"/>
    </row>
    <row r="17">
      <c r="A17" s="2" t="s">
        <v>975</v>
      </c>
      <c r="B17" s="2" t="s">
        <v>17</v>
      </c>
      <c r="C17" s="4">
        <v>2025.0</v>
      </c>
      <c r="D17" s="4">
        <v>8.0</v>
      </c>
      <c r="E17" s="3">
        <v>46253.0</v>
      </c>
      <c r="F17" s="4">
        <v>2.0</v>
      </c>
      <c r="G17" s="5">
        <v>20623.0</v>
      </c>
      <c r="H17" s="5">
        <v>3099.0</v>
      </c>
      <c r="I17" s="5">
        <v>6.392064E7</v>
      </c>
      <c r="J17" s="2" t="s">
        <v>976</v>
      </c>
      <c r="K17" s="4" t="s">
        <v>945</v>
      </c>
      <c r="L17" s="3">
        <v>46183.422847222224</v>
      </c>
      <c r="M17" s="2" t="s">
        <v>946</v>
      </c>
      <c r="N17" s="29"/>
      <c r="O17" s="29"/>
      <c r="S17" s="30"/>
      <c r="T17" s="30"/>
    </row>
    <row r="18">
      <c r="A18" s="2" t="s">
        <v>977</v>
      </c>
      <c r="B18" s="2" t="s">
        <v>17</v>
      </c>
      <c r="C18" s="4">
        <v>2025.0</v>
      </c>
      <c r="D18" s="4">
        <v>9.0</v>
      </c>
      <c r="E18" s="3">
        <v>46267.0</v>
      </c>
      <c r="F18" s="4">
        <v>1.0</v>
      </c>
      <c r="G18" s="5">
        <v>23404.0</v>
      </c>
      <c r="H18" s="5">
        <v>3145.0</v>
      </c>
      <c r="I18" s="5">
        <v>7.361477E7</v>
      </c>
      <c r="J18" s="2" t="s">
        <v>978</v>
      </c>
      <c r="K18" s="4" t="s">
        <v>945</v>
      </c>
      <c r="L18" s="3">
        <v>46183.422847222224</v>
      </c>
      <c r="M18" s="2" t="s">
        <v>946</v>
      </c>
      <c r="N18" s="29"/>
      <c r="O18" s="29"/>
      <c r="S18" s="30"/>
      <c r="T18" s="30"/>
    </row>
    <row r="19">
      <c r="A19" s="2" t="s">
        <v>979</v>
      </c>
      <c r="B19" s="2" t="s">
        <v>17</v>
      </c>
      <c r="C19" s="4">
        <v>2025.0</v>
      </c>
      <c r="D19" s="4">
        <v>9.0</v>
      </c>
      <c r="E19" s="3">
        <v>46281.0</v>
      </c>
      <c r="F19" s="4">
        <v>2.0</v>
      </c>
      <c r="G19" s="5">
        <v>23430.0</v>
      </c>
      <c r="H19" s="5">
        <v>3189.0</v>
      </c>
      <c r="I19" s="5">
        <v>7.471464E7</v>
      </c>
      <c r="J19" s="2" t="s">
        <v>980</v>
      </c>
      <c r="K19" s="4" t="s">
        <v>945</v>
      </c>
      <c r="L19" s="3">
        <v>46183.422847222224</v>
      </c>
      <c r="M19" s="2" t="s">
        <v>946</v>
      </c>
      <c r="N19" s="29"/>
      <c r="O19" s="29"/>
      <c r="S19" s="30"/>
      <c r="T19" s="30"/>
    </row>
    <row r="20">
      <c r="A20" s="2" t="s">
        <v>981</v>
      </c>
      <c r="B20" s="2" t="s">
        <v>17</v>
      </c>
      <c r="C20" s="4">
        <v>2025.0</v>
      </c>
      <c r="D20" s="4">
        <v>10.0</v>
      </c>
      <c r="E20" s="3">
        <v>46295.0</v>
      </c>
      <c r="F20" s="4">
        <v>1.0</v>
      </c>
      <c r="G20" s="5">
        <v>24803.0</v>
      </c>
      <c r="H20" s="5">
        <v>3195.0</v>
      </c>
      <c r="I20" s="5">
        <v>7.925032E7</v>
      </c>
      <c r="J20" s="2" t="s">
        <v>982</v>
      </c>
      <c r="K20" s="4" t="s">
        <v>945</v>
      </c>
      <c r="L20" s="3">
        <v>46183.422847222224</v>
      </c>
      <c r="M20" s="2" t="s">
        <v>946</v>
      </c>
      <c r="N20" s="29"/>
      <c r="O20" s="29"/>
      <c r="S20" s="30"/>
      <c r="T20" s="30"/>
    </row>
    <row r="21">
      <c r="A21" s="2" t="s">
        <v>983</v>
      </c>
      <c r="B21" s="2" t="s">
        <v>17</v>
      </c>
      <c r="C21" s="4">
        <v>2025.0</v>
      </c>
      <c r="D21" s="4">
        <v>10.0</v>
      </c>
      <c r="E21" s="3">
        <v>46308.0</v>
      </c>
      <c r="F21" s="4">
        <v>2.0</v>
      </c>
      <c r="G21" s="5">
        <v>23132.0</v>
      </c>
      <c r="H21" s="5">
        <v>3274.0</v>
      </c>
      <c r="I21" s="5">
        <v>7.572399E7</v>
      </c>
      <c r="J21" s="2" t="s">
        <v>984</v>
      </c>
      <c r="K21" s="4" t="s">
        <v>945</v>
      </c>
      <c r="L21" s="3">
        <v>46183.422847222224</v>
      </c>
      <c r="M21" s="2" t="s">
        <v>946</v>
      </c>
      <c r="N21" s="29"/>
      <c r="O21" s="29"/>
      <c r="S21" s="30"/>
      <c r="T21" s="30"/>
    </row>
    <row r="22">
      <c r="A22" s="2" t="s">
        <v>985</v>
      </c>
      <c r="B22" s="2" t="s">
        <v>17</v>
      </c>
      <c r="C22" s="4">
        <v>2025.0</v>
      </c>
      <c r="D22" s="4">
        <v>11.0</v>
      </c>
      <c r="E22" s="3">
        <v>46323.0</v>
      </c>
      <c r="F22" s="4">
        <v>1.0</v>
      </c>
      <c r="G22" s="5">
        <v>20938.0</v>
      </c>
      <c r="H22" s="5">
        <v>3196.0</v>
      </c>
      <c r="I22" s="5">
        <v>6.691448E7</v>
      </c>
      <c r="J22" s="2" t="s">
        <v>986</v>
      </c>
      <c r="K22" s="4" t="s">
        <v>945</v>
      </c>
      <c r="L22" s="3">
        <v>46183.422847222224</v>
      </c>
      <c r="M22" s="2" t="s">
        <v>946</v>
      </c>
      <c r="N22" s="29"/>
      <c r="O22" s="29"/>
      <c r="S22" s="30"/>
      <c r="T22" s="30"/>
    </row>
    <row r="23">
      <c r="A23" s="2" t="s">
        <v>987</v>
      </c>
      <c r="B23" s="2" t="s">
        <v>17</v>
      </c>
      <c r="C23" s="4">
        <v>2025.0</v>
      </c>
      <c r="D23" s="4">
        <v>11.0</v>
      </c>
      <c r="E23" s="3">
        <v>46335.0</v>
      </c>
      <c r="F23" s="4">
        <v>2.0</v>
      </c>
      <c r="G23" s="5">
        <v>23263.0</v>
      </c>
      <c r="H23" s="5">
        <v>3088.0</v>
      </c>
      <c r="I23" s="5">
        <v>7.183332E7</v>
      </c>
      <c r="J23" s="2" t="s">
        <v>988</v>
      </c>
      <c r="K23" s="4" t="s">
        <v>945</v>
      </c>
      <c r="L23" s="3">
        <v>46183.422847222224</v>
      </c>
      <c r="M23" s="2" t="s">
        <v>946</v>
      </c>
      <c r="N23" s="29"/>
      <c r="O23" s="29"/>
      <c r="S23" s="30"/>
      <c r="T23" s="30"/>
    </row>
    <row r="24">
      <c r="A24" s="2" t="s">
        <v>989</v>
      </c>
      <c r="B24" s="2" t="s">
        <v>17</v>
      </c>
      <c r="C24" s="4">
        <v>2025.0</v>
      </c>
      <c r="D24" s="4">
        <v>12.0</v>
      </c>
      <c r="E24" s="3">
        <v>46350.0</v>
      </c>
      <c r="F24" s="4">
        <v>1.0</v>
      </c>
      <c r="G24" s="5">
        <v>29807.0</v>
      </c>
      <c r="H24" s="5">
        <v>3184.0</v>
      </c>
      <c r="I24" s="5">
        <v>9.492002E7</v>
      </c>
      <c r="J24" s="2" t="s">
        <v>990</v>
      </c>
      <c r="K24" s="4" t="s">
        <v>945</v>
      </c>
      <c r="L24" s="3">
        <v>46183.422847222224</v>
      </c>
      <c r="M24" s="2" t="s">
        <v>946</v>
      </c>
      <c r="N24" s="29"/>
      <c r="O24" s="29"/>
      <c r="S24" s="30"/>
      <c r="T24" s="30"/>
    </row>
    <row r="25">
      <c r="A25" s="2" t="s">
        <v>991</v>
      </c>
      <c r="B25" s="2" t="s">
        <v>17</v>
      </c>
      <c r="C25" s="4">
        <v>2025.0</v>
      </c>
      <c r="D25" s="4">
        <v>12.0</v>
      </c>
      <c r="E25" s="3">
        <v>46375.0</v>
      </c>
      <c r="F25" s="4">
        <v>2.0</v>
      </c>
      <c r="G25" s="5">
        <v>25409.0</v>
      </c>
      <c r="H25" s="5">
        <v>3106.0</v>
      </c>
      <c r="I25" s="5">
        <v>7.891774E7</v>
      </c>
      <c r="J25" s="2" t="s">
        <v>992</v>
      </c>
      <c r="K25" s="4" t="s">
        <v>945</v>
      </c>
      <c r="L25" s="3">
        <v>46183.422847222224</v>
      </c>
      <c r="M25" s="2" t="s">
        <v>946</v>
      </c>
      <c r="N25" s="29"/>
      <c r="O25" s="29"/>
      <c r="S25" s="30"/>
      <c r="T25" s="30"/>
    </row>
    <row r="26">
      <c r="A26" s="2" t="s">
        <v>993</v>
      </c>
      <c r="B26" s="2" t="s">
        <v>17</v>
      </c>
      <c r="C26" s="4">
        <v>2024.0</v>
      </c>
      <c r="D26" s="4">
        <v>1.0</v>
      </c>
      <c r="E26" s="29"/>
      <c r="F26" s="4">
        <v>1.0</v>
      </c>
      <c r="G26" s="5">
        <v>5567.0</v>
      </c>
      <c r="H26" s="5">
        <v>2180.0</v>
      </c>
      <c r="I26" s="5">
        <v>1.213606E7</v>
      </c>
      <c r="J26" s="2" t="s">
        <v>18</v>
      </c>
      <c r="K26" s="4" t="s">
        <v>994</v>
      </c>
      <c r="L26" s="3">
        <v>46185.84468155092</v>
      </c>
      <c r="M26" s="2" t="s">
        <v>995</v>
      </c>
      <c r="N26" s="29"/>
      <c r="O26" s="29"/>
      <c r="Q26" s="2" t="s">
        <v>996</v>
      </c>
      <c r="R26" s="2" t="s">
        <v>997</v>
      </c>
      <c r="S26" s="4">
        <v>2024.0</v>
      </c>
      <c r="T26" s="30"/>
      <c r="U26" s="2" t="s">
        <v>998</v>
      </c>
    </row>
    <row r="27">
      <c r="A27" s="2" t="s">
        <v>999</v>
      </c>
      <c r="B27" s="2" t="s">
        <v>17</v>
      </c>
      <c r="C27" s="4">
        <v>2024.0</v>
      </c>
      <c r="D27" s="4">
        <v>1.0</v>
      </c>
      <c r="E27" s="29"/>
      <c r="F27" s="4">
        <v>1.0</v>
      </c>
      <c r="G27" s="5">
        <v>4652.0</v>
      </c>
      <c r="H27" s="5">
        <v>2160.0</v>
      </c>
      <c r="I27" s="5">
        <v>1.004832E7</v>
      </c>
      <c r="J27" s="2" t="s">
        <v>18</v>
      </c>
      <c r="K27" s="4" t="s">
        <v>994</v>
      </c>
      <c r="L27" s="3">
        <v>46185.84468155092</v>
      </c>
      <c r="M27" s="2" t="s">
        <v>995</v>
      </c>
      <c r="N27" s="29"/>
      <c r="O27" s="29"/>
      <c r="Q27" s="2" t="s">
        <v>996</v>
      </c>
      <c r="R27" s="2" t="s">
        <v>997</v>
      </c>
      <c r="S27" s="4">
        <v>2024.0</v>
      </c>
      <c r="T27" s="30"/>
      <c r="U27" s="2" t="s">
        <v>998</v>
      </c>
    </row>
    <row r="28">
      <c r="A28" s="2" t="s">
        <v>1000</v>
      </c>
      <c r="B28" s="2" t="s">
        <v>17</v>
      </c>
      <c r="C28" s="4">
        <v>2024.0</v>
      </c>
      <c r="D28" s="4">
        <v>1.0</v>
      </c>
      <c r="E28" s="29"/>
      <c r="F28" s="4">
        <v>2.0</v>
      </c>
      <c r="G28" s="5">
        <v>4588.0</v>
      </c>
      <c r="H28" s="5">
        <v>2270.0</v>
      </c>
      <c r="I28" s="5">
        <v>1.041476E7</v>
      </c>
      <c r="J28" s="2" t="s">
        <v>26</v>
      </c>
      <c r="K28" s="4" t="s">
        <v>994</v>
      </c>
      <c r="L28" s="3">
        <v>46185.84468155092</v>
      </c>
      <c r="M28" s="2" t="s">
        <v>995</v>
      </c>
      <c r="N28" s="29"/>
      <c r="O28" s="29"/>
      <c r="Q28" s="2" t="s">
        <v>996</v>
      </c>
      <c r="R28" s="2" t="s">
        <v>997</v>
      </c>
      <c r="S28" s="4">
        <v>2024.0</v>
      </c>
      <c r="T28" s="30"/>
      <c r="U28" s="2" t="s">
        <v>998</v>
      </c>
    </row>
    <row r="29">
      <c r="A29" s="2" t="s">
        <v>1001</v>
      </c>
      <c r="B29" s="2" t="s">
        <v>17</v>
      </c>
      <c r="C29" s="4">
        <v>2024.0</v>
      </c>
      <c r="D29" s="4">
        <v>1.0</v>
      </c>
      <c r="E29" s="29"/>
      <c r="F29" s="4">
        <v>2.0</v>
      </c>
      <c r="G29" s="5">
        <v>3418.0</v>
      </c>
      <c r="H29" s="5">
        <v>2270.0</v>
      </c>
      <c r="I29" s="5">
        <v>7758860.0</v>
      </c>
      <c r="J29" s="2" t="s">
        <v>26</v>
      </c>
      <c r="K29" s="4" t="s">
        <v>994</v>
      </c>
      <c r="L29" s="3">
        <v>46185.84468155092</v>
      </c>
      <c r="M29" s="2" t="s">
        <v>995</v>
      </c>
      <c r="N29" s="29"/>
      <c r="O29" s="29"/>
      <c r="Q29" s="2" t="s">
        <v>996</v>
      </c>
      <c r="R29" s="2" t="s">
        <v>997</v>
      </c>
      <c r="S29" s="4">
        <v>2024.0</v>
      </c>
      <c r="T29" s="30"/>
      <c r="U29" s="2" t="s">
        <v>998</v>
      </c>
    </row>
    <row r="30">
      <c r="A30" s="2" t="s">
        <v>1002</v>
      </c>
      <c r="B30" s="2" t="s">
        <v>17</v>
      </c>
      <c r="C30" s="4">
        <v>2024.0</v>
      </c>
      <c r="D30" s="4">
        <v>2.0</v>
      </c>
      <c r="E30" s="29"/>
      <c r="F30" s="4">
        <v>1.0</v>
      </c>
      <c r="G30" s="5">
        <v>3172.0</v>
      </c>
      <c r="H30" s="5">
        <v>2420.0</v>
      </c>
      <c r="I30" s="5">
        <v>7676240.0</v>
      </c>
      <c r="J30" s="2" t="s">
        <v>40</v>
      </c>
      <c r="K30" s="4" t="s">
        <v>994</v>
      </c>
      <c r="L30" s="3">
        <v>46185.84468155092</v>
      </c>
      <c r="M30" s="2" t="s">
        <v>995</v>
      </c>
      <c r="N30" s="29"/>
      <c r="O30" s="29"/>
      <c r="Q30" s="2" t="s">
        <v>996</v>
      </c>
      <c r="R30" s="2" t="s">
        <v>997</v>
      </c>
      <c r="S30" s="4">
        <v>2024.0</v>
      </c>
      <c r="T30" s="30"/>
      <c r="U30" s="2" t="s">
        <v>998</v>
      </c>
    </row>
    <row r="31">
      <c r="A31" s="2" t="s">
        <v>1003</v>
      </c>
      <c r="B31" s="2" t="s">
        <v>17</v>
      </c>
      <c r="C31" s="4">
        <v>2024.0</v>
      </c>
      <c r="D31" s="4">
        <v>2.0</v>
      </c>
      <c r="E31" s="29"/>
      <c r="F31" s="4">
        <v>1.0</v>
      </c>
      <c r="G31" s="5">
        <v>4413.0</v>
      </c>
      <c r="H31" s="5">
        <v>2420.0</v>
      </c>
      <c r="I31" s="5">
        <v>1.067946E7</v>
      </c>
      <c r="J31" s="2" t="s">
        <v>40</v>
      </c>
      <c r="K31" s="4" t="s">
        <v>994</v>
      </c>
      <c r="L31" s="3">
        <v>46185.84468155092</v>
      </c>
      <c r="M31" s="2" t="s">
        <v>995</v>
      </c>
      <c r="N31" s="29"/>
      <c r="O31" s="29"/>
      <c r="Q31" s="2" t="s">
        <v>996</v>
      </c>
      <c r="R31" s="2" t="s">
        <v>997</v>
      </c>
      <c r="S31" s="4">
        <v>2024.0</v>
      </c>
      <c r="T31" s="30"/>
      <c r="U31" s="2" t="s">
        <v>998</v>
      </c>
    </row>
    <row r="32">
      <c r="A32" s="2" t="s">
        <v>1004</v>
      </c>
      <c r="B32" s="2" t="s">
        <v>17</v>
      </c>
      <c r="C32" s="4">
        <v>2024.0</v>
      </c>
      <c r="D32" s="4">
        <v>2.0</v>
      </c>
      <c r="E32" s="29"/>
      <c r="F32" s="4">
        <v>2.0</v>
      </c>
      <c r="G32" s="5">
        <v>4478.0</v>
      </c>
      <c r="H32" s="5">
        <v>2360.0</v>
      </c>
      <c r="I32" s="5">
        <v>1.056808E7</v>
      </c>
      <c r="J32" s="2" t="s">
        <v>47</v>
      </c>
      <c r="K32" s="4" t="s">
        <v>994</v>
      </c>
      <c r="L32" s="3">
        <v>46185.84468155092</v>
      </c>
      <c r="M32" s="2" t="s">
        <v>995</v>
      </c>
      <c r="N32" s="29"/>
      <c r="O32" s="29"/>
      <c r="Q32" s="2" t="s">
        <v>996</v>
      </c>
      <c r="R32" s="2" t="s">
        <v>997</v>
      </c>
      <c r="S32" s="4">
        <v>2024.0</v>
      </c>
      <c r="T32" s="30"/>
      <c r="U32" s="2" t="s">
        <v>998</v>
      </c>
    </row>
    <row r="33">
      <c r="A33" s="2" t="s">
        <v>1005</v>
      </c>
      <c r="B33" s="2" t="s">
        <v>17</v>
      </c>
      <c r="C33" s="4">
        <v>2024.0</v>
      </c>
      <c r="D33" s="4">
        <v>2.0</v>
      </c>
      <c r="E33" s="29"/>
      <c r="F33" s="4">
        <v>2.0</v>
      </c>
      <c r="G33" s="5">
        <v>3343.0</v>
      </c>
      <c r="H33" s="5">
        <v>2360.0</v>
      </c>
      <c r="I33" s="5">
        <v>7889480.0</v>
      </c>
      <c r="J33" s="2" t="s">
        <v>47</v>
      </c>
      <c r="K33" s="4" t="s">
        <v>994</v>
      </c>
      <c r="L33" s="3">
        <v>46185.84468155092</v>
      </c>
      <c r="M33" s="2" t="s">
        <v>995</v>
      </c>
      <c r="N33" s="29"/>
      <c r="O33" s="29"/>
      <c r="Q33" s="2" t="s">
        <v>996</v>
      </c>
      <c r="R33" s="2" t="s">
        <v>997</v>
      </c>
      <c r="S33" s="4">
        <v>2024.0</v>
      </c>
      <c r="T33" s="30"/>
      <c r="U33" s="2" t="s">
        <v>998</v>
      </c>
    </row>
    <row r="34">
      <c r="A34" s="2" t="s">
        <v>1006</v>
      </c>
      <c r="B34" s="2" t="s">
        <v>17</v>
      </c>
      <c r="C34" s="4">
        <v>2024.0</v>
      </c>
      <c r="D34" s="4">
        <v>3.0</v>
      </c>
      <c r="E34" s="29"/>
      <c r="F34" s="4">
        <v>1.0</v>
      </c>
      <c r="G34" s="5">
        <v>4219.0</v>
      </c>
      <c r="H34" s="5">
        <v>2380.0</v>
      </c>
      <c r="I34" s="5">
        <v>1.004122E7</v>
      </c>
      <c r="J34" s="2" t="s">
        <v>55</v>
      </c>
      <c r="K34" s="4" t="s">
        <v>994</v>
      </c>
      <c r="L34" s="3">
        <v>46185.84468155092</v>
      </c>
      <c r="M34" s="2" t="s">
        <v>995</v>
      </c>
      <c r="N34" s="29"/>
      <c r="O34" s="29"/>
      <c r="Q34" s="2" t="s">
        <v>996</v>
      </c>
      <c r="R34" s="2" t="s">
        <v>997</v>
      </c>
      <c r="S34" s="4">
        <v>2024.0</v>
      </c>
      <c r="T34" s="30"/>
      <c r="U34" s="2" t="s">
        <v>998</v>
      </c>
    </row>
    <row r="35">
      <c r="A35" s="2" t="s">
        <v>1007</v>
      </c>
      <c r="B35" s="2" t="s">
        <v>17</v>
      </c>
      <c r="C35" s="4">
        <v>2024.0</v>
      </c>
      <c r="D35" s="4">
        <v>3.0</v>
      </c>
      <c r="E35" s="29"/>
      <c r="F35" s="4">
        <v>1.0</v>
      </c>
      <c r="G35" s="5">
        <v>4894.0</v>
      </c>
      <c r="H35" s="5">
        <v>2380.0</v>
      </c>
      <c r="I35" s="5">
        <v>1.164772E7</v>
      </c>
      <c r="J35" s="2" t="s">
        <v>55</v>
      </c>
      <c r="K35" s="4" t="s">
        <v>994</v>
      </c>
      <c r="L35" s="3">
        <v>46185.84468155092</v>
      </c>
      <c r="M35" s="2" t="s">
        <v>995</v>
      </c>
      <c r="N35" s="29"/>
      <c r="O35" s="29"/>
      <c r="Q35" s="2" t="s">
        <v>996</v>
      </c>
      <c r="R35" s="2" t="s">
        <v>997</v>
      </c>
      <c r="S35" s="4">
        <v>2024.0</v>
      </c>
      <c r="T35" s="30"/>
      <c r="U35" s="2" t="s">
        <v>998</v>
      </c>
    </row>
    <row r="36">
      <c r="A36" s="2" t="s">
        <v>1008</v>
      </c>
      <c r="B36" s="2" t="s">
        <v>17</v>
      </c>
      <c r="C36" s="4">
        <v>2024.0</v>
      </c>
      <c r="D36" s="4">
        <v>3.0</v>
      </c>
      <c r="E36" s="29"/>
      <c r="F36" s="4">
        <v>2.0</v>
      </c>
      <c r="G36" s="5">
        <v>4650.0</v>
      </c>
      <c r="H36" s="5">
        <v>2480.0</v>
      </c>
      <c r="I36" s="5">
        <v>1.1532E7</v>
      </c>
      <c r="J36" s="2" t="s">
        <v>64</v>
      </c>
      <c r="K36" s="4" t="s">
        <v>994</v>
      </c>
      <c r="L36" s="3">
        <v>46185.84468155092</v>
      </c>
      <c r="M36" s="2" t="s">
        <v>995</v>
      </c>
      <c r="N36" s="29"/>
      <c r="O36" s="29"/>
      <c r="Q36" s="2" t="s">
        <v>996</v>
      </c>
      <c r="R36" s="2" t="s">
        <v>997</v>
      </c>
      <c r="S36" s="4">
        <v>2024.0</v>
      </c>
      <c r="T36" s="30"/>
      <c r="U36" s="2" t="s">
        <v>998</v>
      </c>
    </row>
    <row r="37">
      <c r="A37" s="2" t="s">
        <v>1009</v>
      </c>
      <c r="B37" s="2" t="s">
        <v>17</v>
      </c>
      <c r="C37" s="4">
        <v>2024.0</v>
      </c>
      <c r="D37" s="4">
        <v>3.0</v>
      </c>
      <c r="E37" s="29"/>
      <c r="F37" s="4">
        <v>2.0</v>
      </c>
      <c r="G37" s="5">
        <v>5510.0</v>
      </c>
      <c r="H37" s="5">
        <v>2480.0</v>
      </c>
      <c r="I37" s="5">
        <v>1.36648E7</v>
      </c>
      <c r="J37" s="2" t="s">
        <v>64</v>
      </c>
      <c r="K37" s="4" t="s">
        <v>994</v>
      </c>
      <c r="L37" s="3">
        <v>46185.84468155092</v>
      </c>
      <c r="M37" s="2" t="s">
        <v>995</v>
      </c>
      <c r="N37" s="29"/>
      <c r="O37" s="29"/>
      <c r="Q37" s="2" t="s">
        <v>996</v>
      </c>
      <c r="R37" s="2" t="s">
        <v>997</v>
      </c>
      <c r="S37" s="4">
        <v>2024.0</v>
      </c>
      <c r="T37" s="30"/>
      <c r="U37" s="2" t="s">
        <v>998</v>
      </c>
    </row>
    <row r="38">
      <c r="A38" s="2" t="s">
        <v>1010</v>
      </c>
      <c r="B38" s="2" t="s">
        <v>17</v>
      </c>
      <c r="C38" s="4">
        <v>2024.0</v>
      </c>
      <c r="D38" s="4">
        <v>4.0</v>
      </c>
      <c r="E38" s="29"/>
      <c r="F38" s="4">
        <v>1.0</v>
      </c>
      <c r="G38" s="5">
        <v>4190.0</v>
      </c>
      <c r="H38" s="5">
        <v>2620.0</v>
      </c>
      <c r="I38" s="5">
        <v>1.09778E7</v>
      </c>
      <c r="J38" s="2" t="s">
        <v>70</v>
      </c>
      <c r="K38" s="4" t="s">
        <v>994</v>
      </c>
      <c r="L38" s="3">
        <v>46185.84468155092</v>
      </c>
      <c r="M38" s="2" t="s">
        <v>995</v>
      </c>
      <c r="N38" s="29"/>
      <c r="O38" s="29"/>
      <c r="Q38" s="2" t="s">
        <v>996</v>
      </c>
      <c r="R38" s="2" t="s">
        <v>997</v>
      </c>
      <c r="S38" s="4">
        <v>2024.0</v>
      </c>
      <c r="T38" s="30"/>
      <c r="U38" s="2" t="s">
        <v>998</v>
      </c>
    </row>
    <row r="39">
      <c r="A39" s="2" t="s">
        <v>1011</v>
      </c>
      <c r="B39" s="2" t="s">
        <v>17</v>
      </c>
      <c r="C39" s="4">
        <v>2024.0</v>
      </c>
      <c r="D39" s="4">
        <v>4.0</v>
      </c>
      <c r="E39" s="29"/>
      <c r="F39" s="4">
        <v>1.0</v>
      </c>
      <c r="G39" s="5">
        <v>7527.0</v>
      </c>
      <c r="H39" s="5">
        <v>2640.0</v>
      </c>
      <c r="I39" s="5">
        <v>1.987128E7</v>
      </c>
      <c r="J39" s="2" t="s">
        <v>70</v>
      </c>
      <c r="K39" s="4" t="s">
        <v>994</v>
      </c>
      <c r="L39" s="3">
        <v>46185.84468155092</v>
      </c>
      <c r="M39" s="2" t="s">
        <v>995</v>
      </c>
      <c r="N39" s="29"/>
      <c r="O39" s="29"/>
      <c r="Q39" s="2" t="s">
        <v>996</v>
      </c>
      <c r="R39" s="2" t="s">
        <v>997</v>
      </c>
      <c r="S39" s="4">
        <v>2024.0</v>
      </c>
      <c r="T39" s="30"/>
      <c r="U39" s="2" t="s">
        <v>998</v>
      </c>
    </row>
    <row r="40">
      <c r="A40" s="2" t="s">
        <v>1012</v>
      </c>
      <c r="B40" s="2" t="s">
        <v>17</v>
      </c>
      <c r="C40" s="4">
        <v>2024.0</v>
      </c>
      <c r="D40" s="4">
        <v>4.0</v>
      </c>
      <c r="E40" s="29"/>
      <c r="F40" s="4">
        <v>2.0</v>
      </c>
      <c r="G40" s="5">
        <v>4622.0</v>
      </c>
      <c r="H40" s="5">
        <v>2660.0</v>
      </c>
      <c r="I40" s="5">
        <v>1.229452E7</v>
      </c>
      <c r="J40" s="2" t="s">
        <v>77</v>
      </c>
      <c r="K40" s="4" t="s">
        <v>994</v>
      </c>
      <c r="L40" s="3">
        <v>46185.84468155092</v>
      </c>
      <c r="M40" s="2" t="s">
        <v>995</v>
      </c>
      <c r="N40" s="29"/>
      <c r="O40" s="29"/>
      <c r="Q40" s="2" t="s">
        <v>996</v>
      </c>
      <c r="R40" s="2" t="s">
        <v>997</v>
      </c>
      <c r="S40" s="4">
        <v>2024.0</v>
      </c>
      <c r="T40" s="30"/>
      <c r="U40" s="2" t="s">
        <v>998</v>
      </c>
    </row>
    <row r="41">
      <c r="A41" s="2" t="s">
        <v>1013</v>
      </c>
      <c r="B41" s="2" t="s">
        <v>17</v>
      </c>
      <c r="C41" s="4">
        <v>2024.0</v>
      </c>
      <c r="D41" s="4">
        <v>4.0</v>
      </c>
      <c r="E41" s="29"/>
      <c r="F41" s="4">
        <v>2.0</v>
      </c>
      <c r="G41" s="5">
        <v>4568.0</v>
      </c>
      <c r="H41" s="5">
        <v>2630.0</v>
      </c>
      <c r="I41" s="5">
        <v>1.201384E7</v>
      </c>
      <c r="J41" s="2" t="s">
        <v>77</v>
      </c>
      <c r="K41" s="4" t="s">
        <v>994</v>
      </c>
      <c r="L41" s="3">
        <v>46185.84468155092</v>
      </c>
      <c r="M41" s="2" t="s">
        <v>995</v>
      </c>
      <c r="N41" s="29"/>
      <c r="O41" s="29"/>
      <c r="Q41" s="2" t="s">
        <v>996</v>
      </c>
      <c r="R41" s="2" t="s">
        <v>997</v>
      </c>
      <c r="S41" s="4">
        <v>2024.0</v>
      </c>
      <c r="T41" s="30"/>
      <c r="U41" s="2" t="s">
        <v>998</v>
      </c>
    </row>
    <row r="42">
      <c r="A42" s="2" t="s">
        <v>1014</v>
      </c>
      <c r="B42" s="2" t="s">
        <v>17</v>
      </c>
      <c r="C42" s="4">
        <v>2024.0</v>
      </c>
      <c r="D42" s="4">
        <v>5.0</v>
      </c>
      <c r="E42" s="29"/>
      <c r="F42" s="4">
        <v>1.0</v>
      </c>
      <c r="G42" s="5">
        <v>7585.0</v>
      </c>
      <c r="H42" s="5">
        <v>2470.0</v>
      </c>
      <c r="I42" s="5">
        <v>1.873495E7</v>
      </c>
      <c r="J42" s="2" t="s">
        <v>83</v>
      </c>
      <c r="K42" s="4" t="s">
        <v>994</v>
      </c>
      <c r="L42" s="3">
        <v>46185.84468155092</v>
      </c>
      <c r="M42" s="2" t="s">
        <v>995</v>
      </c>
      <c r="N42" s="29"/>
      <c r="O42" s="29"/>
      <c r="Q42" s="2" t="s">
        <v>996</v>
      </c>
      <c r="R42" s="2" t="s">
        <v>997</v>
      </c>
      <c r="S42" s="4">
        <v>2024.0</v>
      </c>
      <c r="T42" s="30"/>
      <c r="U42" s="2" t="s">
        <v>998</v>
      </c>
    </row>
    <row r="43">
      <c r="A43" s="2" t="s">
        <v>1015</v>
      </c>
      <c r="B43" s="2" t="s">
        <v>17</v>
      </c>
      <c r="C43" s="4">
        <v>2024.0</v>
      </c>
      <c r="D43" s="4">
        <v>5.0</v>
      </c>
      <c r="E43" s="29"/>
      <c r="F43" s="4">
        <v>1.0</v>
      </c>
      <c r="G43" s="5">
        <v>4142.0</v>
      </c>
      <c r="H43" s="5">
        <v>2450.0</v>
      </c>
      <c r="I43" s="5">
        <v>1.01479E7</v>
      </c>
      <c r="J43" s="2" t="s">
        <v>83</v>
      </c>
      <c r="K43" s="4" t="s">
        <v>994</v>
      </c>
      <c r="L43" s="3">
        <v>46185.84468155092</v>
      </c>
      <c r="M43" s="2" t="s">
        <v>995</v>
      </c>
      <c r="N43" s="29"/>
      <c r="O43" s="29"/>
      <c r="Q43" s="2" t="s">
        <v>996</v>
      </c>
      <c r="R43" s="2" t="s">
        <v>997</v>
      </c>
      <c r="S43" s="4">
        <v>2024.0</v>
      </c>
      <c r="T43" s="30"/>
      <c r="U43" s="2" t="s">
        <v>998</v>
      </c>
    </row>
    <row r="44">
      <c r="A44" s="2" t="s">
        <v>1016</v>
      </c>
      <c r="B44" s="2" t="s">
        <v>17</v>
      </c>
      <c r="C44" s="4">
        <v>2024.0</v>
      </c>
      <c r="D44" s="4">
        <v>5.0</v>
      </c>
      <c r="E44" s="29"/>
      <c r="F44" s="4">
        <v>1.0</v>
      </c>
      <c r="G44" s="5">
        <v>5393.0</v>
      </c>
      <c r="H44" s="5">
        <v>2450.0</v>
      </c>
      <c r="I44" s="5">
        <v>1.321285E7</v>
      </c>
      <c r="J44" s="2" t="s">
        <v>83</v>
      </c>
      <c r="K44" s="4" t="s">
        <v>994</v>
      </c>
      <c r="L44" s="3">
        <v>46185.84468155092</v>
      </c>
      <c r="M44" s="2" t="s">
        <v>995</v>
      </c>
      <c r="N44" s="29"/>
      <c r="O44" s="29"/>
      <c r="Q44" s="2" t="s">
        <v>996</v>
      </c>
      <c r="R44" s="2" t="s">
        <v>997</v>
      </c>
      <c r="S44" s="4">
        <v>2024.0</v>
      </c>
      <c r="T44" s="30"/>
      <c r="U44" s="2" t="s">
        <v>998</v>
      </c>
    </row>
    <row r="45">
      <c r="A45" s="2" t="s">
        <v>1017</v>
      </c>
      <c r="B45" s="2" t="s">
        <v>17</v>
      </c>
      <c r="C45" s="4">
        <v>2024.0</v>
      </c>
      <c r="D45" s="4">
        <v>5.0</v>
      </c>
      <c r="E45" s="29"/>
      <c r="F45" s="4">
        <v>2.0</v>
      </c>
      <c r="G45" s="5">
        <v>4803.0</v>
      </c>
      <c r="H45" s="5">
        <v>2480.0</v>
      </c>
      <c r="I45" s="5">
        <v>1.191144E7</v>
      </c>
      <c r="J45" s="2" t="s">
        <v>89</v>
      </c>
      <c r="K45" s="4" t="s">
        <v>994</v>
      </c>
      <c r="L45" s="3">
        <v>46185.84468155092</v>
      </c>
      <c r="M45" s="2" t="s">
        <v>995</v>
      </c>
      <c r="N45" s="29"/>
      <c r="O45" s="29"/>
      <c r="Q45" s="2" t="s">
        <v>996</v>
      </c>
      <c r="R45" s="2" t="s">
        <v>997</v>
      </c>
      <c r="S45" s="4">
        <v>2024.0</v>
      </c>
      <c r="T45" s="30"/>
      <c r="U45" s="2" t="s">
        <v>998</v>
      </c>
    </row>
    <row r="46">
      <c r="A46" s="2" t="s">
        <v>1018</v>
      </c>
      <c r="B46" s="2" t="s">
        <v>17</v>
      </c>
      <c r="C46" s="4">
        <v>2024.0</v>
      </c>
      <c r="D46" s="4">
        <v>5.0</v>
      </c>
      <c r="E46" s="29"/>
      <c r="F46" s="4">
        <v>2.0</v>
      </c>
      <c r="G46" s="5">
        <v>4170.0</v>
      </c>
      <c r="H46" s="5">
        <v>2480.0</v>
      </c>
      <c r="I46" s="5">
        <v>1.03416E7</v>
      </c>
      <c r="J46" s="2" t="s">
        <v>89</v>
      </c>
      <c r="K46" s="4" t="s">
        <v>994</v>
      </c>
      <c r="L46" s="3">
        <v>46185.84468155092</v>
      </c>
      <c r="M46" s="2" t="s">
        <v>995</v>
      </c>
      <c r="N46" s="29"/>
      <c r="O46" s="29"/>
      <c r="Q46" s="2" t="s">
        <v>996</v>
      </c>
      <c r="R46" s="2" t="s">
        <v>997</v>
      </c>
      <c r="S46" s="4">
        <v>2024.0</v>
      </c>
      <c r="T46" s="30"/>
      <c r="U46" s="2" t="s">
        <v>998</v>
      </c>
    </row>
    <row r="47">
      <c r="A47" s="2" t="s">
        <v>1019</v>
      </c>
      <c r="B47" s="2" t="s">
        <v>17</v>
      </c>
      <c r="C47" s="4">
        <v>2024.0</v>
      </c>
      <c r="D47" s="4">
        <v>5.0</v>
      </c>
      <c r="E47" s="29"/>
      <c r="F47" s="4">
        <v>2.0</v>
      </c>
      <c r="G47" s="5">
        <v>6339.0</v>
      </c>
      <c r="H47" s="5">
        <v>2480.0</v>
      </c>
      <c r="I47" s="5">
        <v>1.572072E7</v>
      </c>
      <c r="J47" s="2" t="s">
        <v>89</v>
      </c>
      <c r="K47" s="4" t="s">
        <v>994</v>
      </c>
      <c r="L47" s="3">
        <v>46185.84468155092</v>
      </c>
      <c r="M47" s="2" t="s">
        <v>995</v>
      </c>
      <c r="N47" s="29"/>
      <c r="O47" s="29"/>
      <c r="Q47" s="2" t="s">
        <v>996</v>
      </c>
      <c r="R47" s="2" t="s">
        <v>997</v>
      </c>
      <c r="S47" s="4">
        <v>2024.0</v>
      </c>
      <c r="T47" s="30"/>
      <c r="U47" s="2" t="s">
        <v>998</v>
      </c>
    </row>
    <row r="48">
      <c r="A48" s="2" t="s">
        <v>1020</v>
      </c>
      <c r="B48" s="2" t="s">
        <v>17</v>
      </c>
      <c r="C48" s="4">
        <v>2024.0</v>
      </c>
      <c r="D48" s="4">
        <v>6.0</v>
      </c>
      <c r="E48" s="29"/>
      <c r="F48" s="4">
        <v>1.0</v>
      </c>
      <c r="G48" s="5">
        <v>4646.0</v>
      </c>
      <c r="H48" s="5">
        <v>2520.0</v>
      </c>
      <c r="I48" s="5">
        <v>1.170792E7</v>
      </c>
      <c r="J48" s="2" t="s">
        <v>95</v>
      </c>
      <c r="K48" s="4" t="s">
        <v>994</v>
      </c>
      <c r="L48" s="3">
        <v>46185.84468155092</v>
      </c>
      <c r="M48" s="2" t="s">
        <v>995</v>
      </c>
      <c r="N48" s="29"/>
      <c r="O48" s="29"/>
      <c r="Q48" s="2" t="s">
        <v>996</v>
      </c>
      <c r="R48" s="2" t="s">
        <v>997</v>
      </c>
      <c r="S48" s="4">
        <v>2024.0</v>
      </c>
      <c r="T48" s="30"/>
      <c r="U48" s="2" t="s">
        <v>998</v>
      </c>
    </row>
    <row r="49">
      <c r="A49" s="2" t="s">
        <v>1021</v>
      </c>
      <c r="B49" s="2" t="s">
        <v>17</v>
      </c>
      <c r="C49" s="4">
        <v>2024.0</v>
      </c>
      <c r="D49" s="4">
        <v>6.0</v>
      </c>
      <c r="E49" s="29"/>
      <c r="F49" s="4">
        <v>1.0</v>
      </c>
      <c r="G49" s="5">
        <v>5088.0</v>
      </c>
      <c r="H49" s="5">
        <v>2520.0</v>
      </c>
      <c r="I49" s="5">
        <v>1.282176E7</v>
      </c>
      <c r="J49" s="2" t="s">
        <v>95</v>
      </c>
      <c r="K49" s="4" t="s">
        <v>994</v>
      </c>
      <c r="L49" s="3">
        <v>46185.84468155092</v>
      </c>
      <c r="M49" s="2" t="s">
        <v>995</v>
      </c>
      <c r="N49" s="29"/>
      <c r="O49" s="29"/>
      <c r="Q49" s="2" t="s">
        <v>996</v>
      </c>
      <c r="R49" s="2" t="s">
        <v>997</v>
      </c>
      <c r="S49" s="4">
        <v>2024.0</v>
      </c>
      <c r="T49" s="30"/>
      <c r="U49" s="2" t="s">
        <v>998</v>
      </c>
    </row>
    <row r="50">
      <c r="A50" s="2" t="s">
        <v>1022</v>
      </c>
      <c r="B50" s="2" t="s">
        <v>17</v>
      </c>
      <c r="C50" s="4">
        <v>2024.0</v>
      </c>
      <c r="D50" s="4">
        <v>6.0</v>
      </c>
      <c r="E50" s="29"/>
      <c r="F50" s="4">
        <v>1.0</v>
      </c>
      <c r="G50" s="5">
        <v>4986.0</v>
      </c>
      <c r="H50" s="5">
        <v>2590.0</v>
      </c>
      <c r="I50" s="5">
        <v>1.291374E7</v>
      </c>
      <c r="J50" s="2" t="s">
        <v>95</v>
      </c>
      <c r="K50" s="4" t="s">
        <v>994</v>
      </c>
      <c r="L50" s="3">
        <v>46185.84468155092</v>
      </c>
      <c r="M50" s="2" t="s">
        <v>995</v>
      </c>
      <c r="N50" s="29"/>
      <c r="O50" s="29"/>
      <c r="Q50" s="2" t="s">
        <v>996</v>
      </c>
      <c r="R50" s="2" t="s">
        <v>997</v>
      </c>
      <c r="S50" s="4">
        <v>2024.0</v>
      </c>
      <c r="T50" s="30"/>
      <c r="U50" s="2" t="s">
        <v>998</v>
      </c>
    </row>
    <row r="51">
      <c r="A51" s="2" t="s">
        <v>1023</v>
      </c>
      <c r="B51" s="2" t="s">
        <v>17</v>
      </c>
      <c r="C51" s="4">
        <v>2024.0</v>
      </c>
      <c r="D51" s="4">
        <v>6.0</v>
      </c>
      <c r="E51" s="29"/>
      <c r="F51" s="4">
        <v>2.0</v>
      </c>
      <c r="G51" s="5">
        <v>5412.0</v>
      </c>
      <c r="H51" s="5">
        <v>2430.0</v>
      </c>
      <c r="I51" s="5">
        <v>1.315116E7</v>
      </c>
      <c r="J51" s="2" t="s">
        <v>101</v>
      </c>
      <c r="K51" s="4" t="s">
        <v>994</v>
      </c>
      <c r="L51" s="3">
        <v>46185.84468155092</v>
      </c>
      <c r="M51" s="2" t="s">
        <v>995</v>
      </c>
      <c r="N51" s="29"/>
      <c r="O51" s="29"/>
      <c r="Q51" s="2" t="s">
        <v>996</v>
      </c>
      <c r="R51" s="2" t="s">
        <v>997</v>
      </c>
      <c r="S51" s="4">
        <v>2024.0</v>
      </c>
      <c r="T51" s="30"/>
      <c r="U51" s="2" t="s">
        <v>998</v>
      </c>
    </row>
    <row r="52">
      <c r="A52" s="2" t="s">
        <v>1024</v>
      </c>
      <c r="B52" s="2" t="s">
        <v>17</v>
      </c>
      <c r="C52" s="4">
        <v>2024.0</v>
      </c>
      <c r="D52" s="4">
        <v>6.0</v>
      </c>
      <c r="E52" s="29"/>
      <c r="F52" s="4">
        <v>2.0</v>
      </c>
      <c r="G52" s="5">
        <v>4724.0</v>
      </c>
      <c r="H52" s="5">
        <v>2430.0</v>
      </c>
      <c r="I52" s="5">
        <v>1.147932E7</v>
      </c>
      <c r="J52" s="2" t="s">
        <v>101</v>
      </c>
      <c r="K52" s="4" t="s">
        <v>994</v>
      </c>
      <c r="L52" s="3">
        <v>46185.84468155092</v>
      </c>
      <c r="M52" s="2" t="s">
        <v>995</v>
      </c>
      <c r="N52" s="29"/>
      <c r="O52" s="29"/>
      <c r="Q52" s="2" t="s">
        <v>996</v>
      </c>
      <c r="R52" s="2" t="s">
        <v>997</v>
      </c>
      <c r="S52" s="4">
        <v>2024.0</v>
      </c>
      <c r="T52" s="30"/>
      <c r="U52" s="2" t="s">
        <v>998</v>
      </c>
    </row>
    <row r="53">
      <c r="A53" s="2" t="s">
        <v>1025</v>
      </c>
      <c r="B53" s="2" t="s">
        <v>17</v>
      </c>
      <c r="C53" s="4">
        <v>2024.0</v>
      </c>
      <c r="D53" s="4">
        <v>6.0</v>
      </c>
      <c r="E53" s="29"/>
      <c r="F53" s="4">
        <v>2.0</v>
      </c>
      <c r="G53" s="5">
        <v>4570.0</v>
      </c>
      <c r="H53" s="5">
        <v>2450.0</v>
      </c>
      <c r="I53" s="5">
        <v>1.11965E7</v>
      </c>
      <c r="J53" s="2" t="s">
        <v>101</v>
      </c>
      <c r="K53" s="4" t="s">
        <v>994</v>
      </c>
      <c r="L53" s="3">
        <v>46185.84468155092</v>
      </c>
      <c r="M53" s="2" t="s">
        <v>995</v>
      </c>
      <c r="N53" s="29"/>
      <c r="O53" s="29"/>
      <c r="Q53" s="2" t="s">
        <v>996</v>
      </c>
      <c r="R53" s="2" t="s">
        <v>997</v>
      </c>
      <c r="S53" s="4">
        <v>2024.0</v>
      </c>
      <c r="T53" s="30"/>
      <c r="U53" s="2" t="s">
        <v>998</v>
      </c>
    </row>
    <row r="54">
      <c r="A54" s="2" t="s">
        <v>1026</v>
      </c>
      <c r="B54" s="2" t="s">
        <v>17</v>
      </c>
      <c r="C54" s="4">
        <v>2024.0</v>
      </c>
      <c r="D54" s="4">
        <v>7.0</v>
      </c>
      <c r="E54" s="29"/>
      <c r="F54" s="4">
        <v>1.0</v>
      </c>
      <c r="G54" s="5">
        <v>3145.0</v>
      </c>
      <c r="H54" s="5">
        <v>2580.0</v>
      </c>
      <c r="I54" s="5">
        <v>8114100.0</v>
      </c>
      <c r="J54" s="2" t="s">
        <v>109</v>
      </c>
      <c r="K54" s="4" t="s">
        <v>994</v>
      </c>
      <c r="L54" s="3">
        <v>46185.84468155092</v>
      </c>
      <c r="M54" s="2" t="s">
        <v>995</v>
      </c>
      <c r="N54" s="29"/>
      <c r="O54" s="29"/>
      <c r="Q54" s="2" t="s">
        <v>996</v>
      </c>
      <c r="R54" s="2" t="s">
        <v>997</v>
      </c>
      <c r="S54" s="4">
        <v>2024.0</v>
      </c>
      <c r="T54" s="30"/>
      <c r="U54" s="2" t="s">
        <v>998</v>
      </c>
    </row>
    <row r="55">
      <c r="A55" s="2" t="s">
        <v>1027</v>
      </c>
      <c r="B55" s="2" t="s">
        <v>17</v>
      </c>
      <c r="C55" s="4">
        <v>2024.0</v>
      </c>
      <c r="D55" s="4">
        <v>7.0</v>
      </c>
      <c r="E55" s="29"/>
      <c r="F55" s="4">
        <v>1.0</v>
      </c>
      <c r="G55" s="5">
        <v>5015.0</v>
      </c>
      <c r="H55" s="5">
        <v>2580.0</v>
      </c>
      <c r="I55" s="5">
        <v>1.29387E7</v>
      </c>
      <c r="J55" s="2" t="s">
        <v>109</v>
      </c>
      <c r="K55" s="4" t="s">
        <v>994</v>
      </c>
      <c r="L55" s="3">
        <v>46185.84468155092</v>
      </c>
      <c r="M55" s="2" t="s">
        <v>995</v>
      </c>
      <c r="N55" s="29"/>
      <c r="O55" s="29"/>
      <c r="Q55" s="2" t="s">
        <v>996</v>
      </c>
      <c r="R55" s="2" t="s">
        <v>997</v>
      </c>
      <c r="S55" s="4">
        <v>2024.0</v>
      </c>
      <c r="T55" s="30"/>
      <c r="U55" s="2" t="s">
        <v>998</v>
      </c>
    </row>
    <row r="56">
      <c r="A56" s="2" t="s">
        <v>1028</v>
      </c>
      <c r="B56" s="2" t="s">
        <v>17</v>
      </c>
      <c r="C56" s="4">
        <v>2024.0</v>
      </c>
      <c r="D56" s="4">
        <v>7.0</v>
      </c>
      <c r="E56" s="29"/>
      <c r="F56" s="4">
        <v>1.0</v>
      </c>
      <c r="G56" s="5">
        <v>4530.0</v>
      </c>
      <c r="H56" s="5">
        <v>2580.0</v>
      </c>
      <c r="I56" s="5">
        <v>1.16874E7</v>
      </c>
      <c r="J56" s="2" t="s">
        <v>109</v>
      </c>
      <c r="K56" s="4" t="s">
        <v>994</v>
      </c>
      <c r="L56" s="3">
        <v>46185.84468155092</v>
      </c>
      <c r="M56" s="2" t="s">
        <v>995</v>
      </c>
      <c r="N56" s="29"/>
      <c r="O56" s="29"/>
      <c r="Q56" s="2" t="s">
        <v>996</v>
      </c>
      <c r="R56" s="2" t="s">
        <v>997</v>
      </c>
      <c r="S56" s="4">
        <v>2024.0</v>
      </c>
      <c r="T56" s="30"/>
      <c r="U56" s="2" t="s">
        <v>998</v>
      </c>
    </row>
    <row r="57">
      <c r="A57" s="2" t="s">
        <v>1029</v>
      </c>
      <c r="B57" s="2" t="s">
        <v>17</v>
      </c>
      <c r="C57" s="4">
        <v>2024.0</v>
      </c>
      <c r="D57" s="4">
        <v>7.0</v>
      </c>
      <c r="E57" s="29"/>
      <c r="F57" s="4">
        <v>2.0</v>
      </c>
      <c r="G57" s="5">
        <v>5083.0</v>
      </c>
      <c r="H57" s="5">
        <v>2630.0</v>
      </c>
      <c r="I57" s="5">
        <v>1.336829E7</v>
      </c>
      <c r="J57" s="2" t="s">
        <v>922</v>
      </c>
      <c r="K57" s="4" t="s">
        <v>994</v>
      </c>
      <c r="L57" s="3">
        <v>46185.84468155092</v>
      </c>
      <c r="M57" s="2" t="s">
        <v>995</v>
      </c>
      <c r="N57" s="29"/>
      <c r="O57" s="29"/>
      <c r="Q57" s="2" t="s">
        <v>996</v>
      </c>
      <c r="R57" s="2" t="s">
        <v>997</v>
      </c>
      <c r="S57" s="4">
        <v>2024.0</v>
      </c>
      <c r="T57" s="30"/>
      <c r="U57" s="2" t="s">
        <v>998</v>
      </c>
    </row>
    <row r="58">
      <c r="A58" s="2" t="s">
        <v>1030</v>
      </c>
      <c r="B58" s="2" t="s">
        <v>17</v>
      </c>
      <c r="C58" s="4">
        <v>2024.0</v>
      </c>
      <c r="D58" s="4">
        <v>7.0</v>
      </c>
      <c r="E58" s="29"/>
      <c r="F58" s="4">
        <v>2.0</v>
      </c>
      <c r="G58" s="5">
        <v>6906.0</v>
      </c>
      <c r="H58" s="5">
        <v>2720.0</v>
      </c>
      <c r="I58" s="5">
        <v>1.878432E7</v>
      </c>
      <c r="J58" s="2" t="s">
        <v>922</v>
      </c>
      <c r="K58" s="4" t="s">
        <v>994</v>
      </c>
      <c r="L58" s="3">
        <v>46185.84468155092</v>
      </c>
      <c r="M58" s="2" t="s">
        <v>995</v>
      </c>
      <c r="N58" s="29"/>
      <c r="O58" s="29"/>
      <c r="Q58" s="2" t="s">
        <v>996</v>
      </c>
      <c r="R58" s="2" t="s">
        <v>997</v>
      </c>
      <c r="S58" s="4">
        <v>2024.0</v>
      </c>
      <c r="T58" s="30"/>
      <c r="U58" s="2" t="s">
        <v>998</v>
      </c>
    </row>
    <row r="59">
      <c r="A59" s="2" t="s">
        <v>1031</v>
      </c>
      <c r="B59" s="2" t="s">
        <v>17</v>
      </c>
      <c r="C59" s="4">
        <v>2024.0</v>
      </c>
      <c r="D59" s="4">
        <v>7.0</v>
      </c>
      <c r="E59" s="29"/>
      <c r="F59" s="4">
        <v>2.0</v>
      </c>
      <c r="G59" s="5">
        <v>2095.0</v>
      </c>
      <c r="H59" s="5">
        <v>2600.0</v>
      </c>
      <c r="I59" s="5">
        <v>5447000.0</v>
      </c>
      <c r="J59" s="2" t="s">
        <v>922</v>
      </c>
      <c r="K59" s="4" t="s">
        <v>994</v>
      </c>
      <c r="L59" s="3">
        <v>46185.84468155092</v>
      </c>
      <c r="M59" s="2" t="s">
        <v>995</v>
      </c>
      <c r="N59" s="29"/>
      <c r="O59" s="29"/>
      <c r="Q59" s="2" t="s">
        <v>996</v>
      </c>
      <c r="R59" s="2" t="s">
        <v>997</v>
      </c>
      <c r="S59" s="4">
        <v>2024.0</v>
      </c>
      <c r="T59" s="30"/>
      <c r="U59" s="2" t="s">
        <v>998</v>
      </c>
    </row>
    <row r="60">
      <c r="A60" s="2" t="s">
        <v>1032</v>
      </c>
      <c r="B60" s="2" t="s">
        <v>17</v>
      </c>
      <c r="C60" s="4">
        <v>2024.0</v>
      </c>
      <c r="D60" s="4">
        <v>8.0</v>
      </c>
      <c r="E60" s="29"/>
      <c r="F60" s="4">
        <v>1.0</v>
      </c>
      <c r="G60" s="5">
        <v>6186.0</v>
      </c>
      <c r="H60" s="5">
        <v>2690.0</v>
      </c>
      <c r="I60" s="5">
        <v>1.664034E7</v>
      </c>
      <c r="J60" s="2" t="s">
        <v>923</v>
      </c>
      <c r="K60" s="4" t="s">
        <v>994</v>
      </c>
      <c r="L60" s="3">
        <v>46185.84468155092</v>
      </c>
      <c r="M60" s="2" t="s">
        <v>995</v>
      </c>
      <c r="N60" s="29"/>
      <c r="O60" s="29"/>
      <c r="Q60" s="2" t="s">
        <v>996</v>
      </c>
      <c r="R60" s="2" t="s">
        <v>997</v>
      </c>
      <c r="S60" s="4">
        <v>2024.0</v>
      </c>
      <c r="T60" s="30"/>
      <c r="U60" s="2" t="s">
        <v>998</v>
      </c>
    </row>
    <row r="61">
      <c r="A61" s="2" t="s">
        <v>1033</v>
      </c>
      <c r="B61" s="2" t="s">
        <v>17</v>
      </c>
      <c r="C61" s="4">
        <v>2024.0</v>
      </c>
      <c r="D61" s="4">
        <v>8.0</v>
      </c>
      <c r="E61" s="29"/>
      <c r="F61" s="4">
        <v>1.0</v>
      </c>
      <c r="G61" s="5">
        <v>4578.0</v>
      </c>
      <c r="H61" s="5">
        <v>2690.0</v>
      </c>
      <c r="I61" s="5">
        <v>1.231482E7</v>
      </c>
      <c r="J61" s="2" t="s">
        <v>923</v>
      </c>
      <c r="K61" s="4" t="s">
        <v>994</v>
      </c>
      <c r="L61" s="3">
        <v>46185.84468155092</v>
      </c>
      <c r="M61" s="2" t="s">
        <v>995</v>
      </c>
      <c r="N61" s="29"/>
      <c r="O61" s="29"/>
      <c r="Q61" s="2" t="s">
        <v>996</v>
      </c>
      <c r="R61" s="2" t="s">
        <v>997</v>
      </c>
      <c r="S61" s="4">
        <v>2024.0</v>
      </c>
      <c r="T61" s="30"/>
      <c r="U61" s="2" t="s">
        <v>998</v>
      </c>
    </row>
    <row r="62">
      <c r="A62" s="2" t="s">
        <v>1034</v>
      </c>
      <c r="B62" s="2" t="s">
        <v>17</v>
      </c>
      <c r="C62" s="4">
        <v>2024.0</v>
      </c>
      <c r="D62" s="4">
        <v>8.0</v>
      </c>
      <c r="E62" s="29"/>
      <c r="F62" s="4">
        <v>1.0</v>
      </c>
      <c r="G62" s="5">
        <v>4656.0</v>
      </c>
      <c r="H62" s="5">
        <v>2570.0</v>
      </c>
      <c r="I62" s="5">
        <v>1.196592E7</v>
      </c>
      <c r="J62" s="2" t="s">
        <v>923</v>
      </c>
      <c r="K62" s="4" t="s">
        <v>994</v>
      </c>
      <c r="L62" s="3">
        <v>46185.84468155092</v>
      </c>
      <c r="M62" s="2" t="s">
        <v>995</v>
      </c>
      <c r="N62" s="29"/>
      <c r="O62" s="29"/>
      <c r="Q62" s="2" t="s">
        <v>996</v>
      </c>
      <c r="R62" s="2" t="s">
        <v>997</v>
      </c>
      <c r="S62" s="4">
        <v>2024.0</v>
      </c>
      <c r="T62" s="30"/>
      <c r="U62" s="2" t="s">
        <v>998</v>
      </c>
    </row>
    <row r="63">
      <c r="A63" s="2" t="s">
        <v>1035</v>
      </c>
      <c r="B63" s="2" t="s">
        <v>17</v>
      </c>
      <c r="C63" s="4">
        <v>2024.0</v>
      </c>
      <c r="D63" s="4">
        <v>8.0</v>
      </c>
      <c r="E63" s="29"/>
      <c r="F63" s="4">
        <v>2.0</v>
      </c>
      <c r="G63" s="5">
        <v>3820.0</v>
      </c>
      <c r="H63" s="5">
        <v>2570.0</v>
      </c>
      <c r="I63" s="5">
        <v>9817400.0</v>
      </c>
      <c r="J63" s="2" t="s">
        <v>924</v>
      </c>
      <c r="K63" s="4" t="s">
        <v>994</v>
      </c>
      <c r="L63" s="3">
        <v>46185.84468155092</v>
      </c>
      <c r="M63" s="2" t="s">
        <v>995</v>
      </c>
      <c r="N63" s="29"/>
      <c r="O63" s="29"/>
      <c r="Q63" s="2" t="s">
        <v>996</v>
      </c>
      <c r="R63" s="2" t="s">
        <v>997</v>
      </c>
      <c r="S63" s="4">
        <v>2024.0</v>
      </c>
      <c r="T63" s="30"/>
      <c r="U63" s="2" t="s">
        <v>998</v>
      </c>
    </row>
    <row r="64">
      <c r="A64" s="2" t="s">
        <v>1036</v>
      </c>
      <c r="B64" s="2" t="s">
        <v>17</v>
      </c>
      <c r="C64" s="4">
        <v>2024.0</v>
      </c>
      <c r="D64" s="4">
        <v>8.0</v>
      </c>
      <c r="E64" s="29"/>
      <c r="F64" s="4">
        <v>2.0</v>
      </c>
      <c r="G64" s="5">
        <v>1485.0</v>
      </c>
      <c r="H64" s="5">
        <v>2490.0</v>
      </c>
      <c r="I64" s="5">
        <v>3697650.0</v>
      </c>
      <c r="J64" s="2" t="s">
        <v>924</v>
      </c>
      <c r="K64" s="4" t="s">
        <v>994</v>
      </c>
      <c r="L64" s="3">
        <v>46185.84468155092</v>
      </c>
      <c r="M64" s="2" t="s">
        <v>995</v>
      </c>
      <c r="N64" s="29"/>
      <c r="O64" s="29"/>
      <c r="Q64" s="2" t="s">
        <v>996</v>
      </c>
      <c r="R64" s="2" t="s">
        <v>997</v>
      </c>
      <c r="S64" s="4">
        <v>2024.0</v>
      </c>
      <c r="T64" s="30"/>
      <c r="U64" s="2" t="s">
        <v>998</v>
      </c>
    </row>
    <row r="65">
      <c r="A65" s="2" t="s">
        <v>1037</v>
      </c>
      <c r="B65" s="2" t="s">
        <v>17</v>
      </c>
      <c r="C65" s="4">
        <v>2024.0</v>
      </c>
      <c r="D65" s="4">
        <v>8.0</v>
      </c>
      <c r="E65" s="29"/>
      <c r="F65" s="4">
        <v>2.0</v>
      </c>
      <c r="G65" s="5">
        <v>2058.0</v>
      </c>
      <c r="H65" s="5">
        <v>2590.0</v>
      </c>
      <c r="I65" s="5">
        <v>5330220.0</v>
      </c>
      <c r="J65" s="2" t="s">
        <v>924</v>
      </c>
      <c r="K65" s="4" t="s">
        <v>994</v>
      </c>
      <c r="L65" s="3">
        <v>46185.84468155092</v>
      </c>
      <c r="M65" s="2" t="s">
        <v>995</v>
      </c>
      <c r="N65" s="29"/>
      <c r="O65" s="29"/>
      <c r="Q65" s="2" t="s">
        <v>996</v>
      </c>
      <c r="R65" s="2" t="s">
        <v>997</v>
      </c>
      <c r="S65" s="4">
        <v>2024.0</v>
      </c>
      <c r="T65" s="30"/>
      <c r="U65" s="2" t="s">
        <v>998</v>
      </c>
    </row>
    <row r="66">
      <c r="A66" s="2" t="s">
        <v>1038</v>
      </c>
      <c r="B66" s="2" t="s">
        <v>17</v>
      </c>
      <c r="C66" s="4">
        <v>2024.0</v>
      </c>
      <c r="D66" s="4">
        <v>9.0</v>
      </c>
      <c r="E66" s="29"/>
      <c r="F66" s="4">
        <v>1.0</v>
      </c>
      <c r="G66" s="5">
        <v>5878.0</v>
      </c>
      <c r="H66" s="5">
        <v>2610.0</v>
      </c>
      <c r="I66" s="5">
        <v>1.534158E7</v>
      </c>
      <c r="J66" s="2" t="s">
        <v>925</v>
      </c>
      <c r="K66" s="4" t="s">
        <v>994</v>
      </c>
      <c r="L66" s="3">
        <v>46185.84468155092</v>
      </c>
      <c r="M66" s="2" t="s">
        <v>995</v>
      </c>
      <c r="N66" s="29"/>
      <c r="O66" s="29"/>
      <c r="Q66" s="2" t="s">
        <v>996</v>
      </c>
      <c r="R66" s="2" t="s">
        <v>997</v>
      </c>
      <c r="S66" s="4">
        <v>2024.0</v>
      </c>
      <c r="T66" s="30"/>
      <c r="U66" s="2" t="s">
        <v>998</v>
      </c>
    </row>
    <row r="67">
      <c r="A67" s="2" t="s">
        <v>1039</v>
      </c>
      <c r="B67" s="2" t="s">
        <v>17</v>
      </c>
      <c r="C67" s="4">
        <v>2024.0</v>
      </c>
      <c r="D67" s="4">
        <v>9.0</v>
      </c>
      <c r="E67" s="29"/>
      <c r="F67" s="4">
        <v>1.0</v>
      </c>
      <c r="G67" s="5">
        <v>4006.0</v>
      </c>
      <c r="H67" s="5">
        <v>2640.0</v>
      </c>
      <c r="I67" s="5">
        <v>1.057584E7</v>
      </c>
      <c r="J67" s="2" t="s">
        <v>925</v>
      </c>
      <c r="K67" s="4" t="s">
        <v>994</v>
      </c>
      <c r="L67" s="3">
        <v>46185.84468155092</v>
      </c>
      <c r="M67" s="2" t="s">
        <v>995</v>
      </c>
      <c r="N67" s="29"/>
      <c r="O67" s="29"/>
      <c r="Q67" s="2" t="s">
        <v>996</v>
      </c>
      <c r="R67" s="2" t="s">
        <v>997</v>
      </c>
      <c r="S67" s="4">
        <v>2024.0</v>
      </c>
      <c r="T67" s="30"/>
      <c r="U67" s="2" t="s">
        <v>998</v>
      </c>
    </row>
    <row r="68">
      <c r="A68" s="2" t="s">
        <v>1040</v>
      </c>
      <c r="B68" s="2" t="s">
        <v>17</v>
      </c>
      <c r="C68" s="4">
        <v>2024.0</v>
      </c>
      <c r="D68" s="4">
        <v>9.0</v>
      </c>
      <c r="E68" s="29"/>
      <c r="F68" s="4">
        <v>1.0</v>
      </c>
      <c r="G68" s="5">
        <v>1315.0</v>
      </c>
      <c r="H68" s="5">
        <v>2460.0</v>
      </c>
      <c r="I68" s="5">
        <v>3234900.0</v>
      </c>
      <c r="J68" s="2" t="s">
        <v>925</v>
      </c>
      <c r="K68" s="4" t="s">
        <v>994</v>
      </c>
      <c r="L68" s="3">
        <v>46185.84468155092</v>
      </c>
      <c r="M68" s="2" t="s">
        <v>995</v>
      </c>
      <c r="N68" s="29"/>
      <c r="O68" s="29"/>
      <c r="Q68" s="2" t="s">
        <v>996</v>
      </c>
      <c r="R68" s="2" t="s">
        <v>997</v>
      </c>
      <c r="S68" s="4">
        <v>2024.0</v>
      </c>
      <c r="T68" s="30"/>
      <c r="U68" s="2" t="s">
        <v>998</v>
      </c>
    </row>
    <row r="69">
      <c r="A69" s="2" t="s">
        <v>1041</v>
      </c>
      <c r="B69" s="2" t="s">
        <v>17</v>
      </c>
      <c r="C69" s="4">
        <v>2024.0</v>
      </c>
      <c r="D69" s="4">
        <v>9.0</v>
      </c>
      <c r="E69" s="29"/>
      <c r="F69" s="4">
        <v>1.0</v>
      </c>
      <c r="G69" s="5">
        <v>1175.0</v>
      </c>
      <c r="H69" s="5">
        <v>2460.0</v>
      </c>
      <c r="I69" s="5">
        <v>2890500.0</v>
      </c>
      <c r="J69" s="2" t="s">
        <v>925</v>
      </c>
      <c r="K69" s="4" t="s">
        <v>994</v>
      </c>
      <c r="L69" s="3">
        <v>46185.84468155092</v>
      </c>
      <c r="M69" s="2" t="s">
        <v>995</v>
      </c>
      <c r="N69" s="29"/>
      <c r="O69" s="29"/>
      <c r="Q69" s="2" t="s">
        <v>996</v>
      </c>
      <c r="R69" s="2" t="s">
        <v>997</v>
      </c>
      <c r="S69" s="4">
        <v>2024.0</v>
      </c>
      <c r="T69" s="30"/>
      <c r="U69" s="2" t="s">
        <v>998</v>
      </c>
    </row>
    <row r="70">
      <c r="A70" s="2" t="s">
        <v>1042</v>
      </c>
      <c r="B70" s="2" t="s">
        <v>17</v>
      </c>
      <c r="C70" s="4">
        <v>2024.0</v>
      </c>
      <c r="D70" s="4">
        <v>9.0</v>
      </c>
      <c r="E70" s="29"/>
      <c r="F70" s="4">
        <v>2.0</v>
      </c>
      <c r="G70" s="5">
        <v>5567.0</v>
      </c>
      <c r="H70" s="5">
        <v>2660.0</v>
      </c>
      <c r="I70" s="5">
        <v>1.480822E7</v>
      </c>
      <c r="J70" s="2" t="s">
        <v>926</v>
      </c>
      <c r="K70" s="4" t="s">
        <v>994</v>
      </c>
      <c r="L70" s="3">
        <v>46185.84468155092</v>
      </c>
      <c r="M70" s="2" t="s">
        <v>995</v>
      </c>
      <c r="N70" s="29"/>
      <c r="O70" s="29"/>
      <c r="Q70" s="2" t="s">
        <v>996</v>
      </c>
      <c r="R70" s="2" t="s">
        <v>997</v>
      </c>
      <c r="S70" s="4">
        <v>2024.0</v>
      </c>
      <c r="T70" s="30"/>
      <c r="U70" s="2" t="s">
        <v>998</v>
      </c>
    </row>
    <row r="71">
      <c r="A71" s="2" t="s">
        <v>1043</v>
      </c>
      <c r="B71" s="2" t="s">
        <v>17</v>
      </c>
      <c r="C71" s="4">
        <v>2024.0</v>
      </c>
      <c r="D71" s="4">
        <v>9.0</v>
      </c>
      <c r="E71" s="29"/>
      <c r="F71" s="4">
        <v>2.0</v>
      </c>
      <c r="G71" s="5">
        <v>5326.0</v>
      </c>
      <c r="H71" s="5">
        <v>2680.0</v>
      </c>
      <c r="I71" s="5">
        <v>1.427368E7</v>
      </c>
      <c r="J71" s="2" t="s">
        <v>926</v>
      </c>
      <c r="K71" s="4" t="s">
        <v>994</v>
      </c>
      <c r="L71" s="3">
        <v>46185.84468155092</v>
      </c>
      <c r="M71" s="2" t="s">
        <v>995</v>
      </c>
      <c r="N71" s="29"/>
      <c r="O71" s="29"/>
      <c r="Q71" s="2" t="s">
        <v>996</v>
      </c>
      <c r="R71" s="2" t="s">
        <v>997</v>
      </c>
      <c r="S71" s="4">
        <v>2024.0</v>
      </c>
      <c r="T71" s="30"/>
      <c r="U71" s="2" t="s">
        <v>998</v>
      </c>
    </row>
    <row r="72">
      <c r="A72" s="2" t="s">
        <v>1044</v>
      </c>
      <c r="B72" s="2" t="s">
        <v>17</v>
      </c>
      <c r="C72" s="4">
        <v>2024.0</v>
      </c>
      <c r="D72" s="4">
        <v>9.0</v>
      </c>
      <c r="E72" s="29"/>
      <c r="F72" s="4">
        <v>2.0</v>
      </c>
      <c r="G72" s="5">
        <v>1212.0</v>
      </c>
      <c r="H72" s="5">
        <v>2590.0</v>
      </c>
      <c r="I72" s="5">
        <v>3139080.0</v>
      </c>
      <c r="J72" s="2" t="s">
        <v>926</v>
      </c>
      <c r="K72" s="4" t="s">
        <v>994</v>
      </c>
      <c r="L72" s="3">
        <v>46185.84468155092</v>
      </c>
      <c r="M72" s="2" t="s">
        <v>995</v>
      </c>
      <c r="N72" s="29"/>
      <c r="O72" s="29"/>
      <c r="Q72" s="2" t="s">
        <v>996</v>
      </c>
      <c r="R72" s="2" t="s">
        <v>997</v>
      </c>
      <c r="S72" s="4">
        <v>2024.0</v>
      </c>
      <c r="T72" s="30"/>
      <c r="U72" s="2" t="s">
        <v>998</v>
      </c>
    </row>
    <row r="73">
      <c r="A73" s="2" t="s">
        <v>1045</v>
      </c>
      <c r="B73" s="2" t="s">
        <v>17</v>
      </c>
      <c r="C73" s="4">
        <v>2024.0</v>
      </c>
      <c r="D73" s="4">
        <v>9.0</v>
      </c>
      <c r="E73" s="29"/>
      <c r="F73" s="4">
        <v>2.0</v>
      </c>
      <c r="G73" s="5">
        <v>1259.0</v>
      </c>
      <c r="H73" s="5">
        <v>2570.0</v>
      </c>
      <c r="I73" s="5">
        <v>3235630.0</v>
      </c>
      <c r="J73" s="2" t="s">
        <v>926</v>
      </c>
      <c r="K73" s="4" t="s">
        <v>994</v>
      </c>
      <c r="L73" s="3">
        <v>46185.84468155092</v>
      </c>
      <c r="M73" s="2" t="s">
        <v>995</v>
      </c>
      <c r="N73" s="29"/>
      <c r="O73" s="29"/>
      <c r="Q73" s="2" t="s">
        <v>996</v>
      </c>
      <c r="R73" s="2" t="s">
        <v>997</v>
      </c>
      <c r="S73" s="4">
        <v>2024.0</v>
      </c>
      <c r="T73" s="30"/>
      <c r="U73" s="2" t="s">
        <v>998</v>
      </c>
    </row>
    <row r="74">
      <c r="A74" s="2" t="s">
        <v>1046</v>
      </c>
      <c r="B74" s="2" t="s">
        <v>17</v>
      </c>
      <c r="C74" s="4">
        <v>2024.0</v>
      </c>
      <c r="D74" s="4">
        <v>10.0</v>
      </c>
      <c r="E74" s="29"/>
      <c r="F74" s="4">
        <v>1.0</v>
      </c>
      <c r="G74" s="5">
        <v>10192.0</v>
      </c>
      <c r="H74" s="5">
        <v>2660.0</v>
      </c>
      <c r="I74" s="5">
        <v>2.711072E7</v>
      </c>
      <c r="J74" s="2" t="s">
        <v>927</v>
      </c>
      <c r="K74" s="4" t="s">
        <v>994</v>
      </c>
      <c r="L74" s="3">
        <v>46185.84468155092</v>
      </c>
      <c r="M74" s="2" t="s">
        <v>995</v>
      </c>
      <c r="N74" s="29"/>
      <c r="O74" s="29"/>
      <c r="Q74" s="2" t="s">
        <v>996</v>
      </c>
      <c r="R74" s="2" t="s">
        <v>997</v>
      </c>
      <c r="S74" s="4">
        <v>2024.0</v>
      </c>
      <c r="T74" s="30"/>
      <c r="U74" s="2" t="s">
        <v>998</v>
      </c>
    </row>
    <row r="75">
      <c r="A75" s="2" t="s">
        <v>1047</v>
      </c>
      <c r="B75" s="2" t="s">
        <v>17</v>
      </c>
      <c r="C75" s="4">
        <v>2024.0</v>
      </c>
      <c r="D75" s="4">
        <v>10.0</v>
      </c>
      <c r="E75" s="29"/>
      <c r="F75" s="4">
        <v>1.0</v>
      </c>
      <c r="G75" s="5">
        <v>789.0</v>
      </c>
      <c r="H75" s="5">
        <v>2550.0</v>
      </c>
      <c r="I75" s="5">
        <v>2011950.0</v>
      </c>
      <c r="J75" s="2" t="s">
        <v>927</v>
      </c>
      <c r="K75" s="4" t="s">
        <v>994</v>
      </c>
      <c r="L75" s="3">
        <v>46185.84468155092</v>
      </c>
      <c r="M75" s="2" t="s">
        <v>995</v>
      </c>
      <c r="N75" s="29"/>
      <c r="O75" s="29"/>
      <c r="Q75" s="2" t="s">
        <v>996</v>
      </c>
      <c r="R75" s="2" t="s">
        <v>997</v>
      </c>
      <c r="S75" s="4">
        <v>2024.0</v>
      </c>
      <c r="T75" s="30"/>
      <c r="U75" s="2" t="s">
        <v>998</v>
      </c>
    </row>
    <row r="76">
      <c r="A76" s="2" t="s">
        <v>1048</v>
      </c>
      <c r="B76" s="2" t="s">
        <v>17</v>
      </c>
      <c r="C76" s="4">
        <v>2024.0</v>
      </c>
      <c r="D76" s="4">
        <v>10.0</v>
      </c>
      <c r="E76" s="29"/>
      <c r="F76" s="4">
        <v>1.0</v>
      </c>
      <c r="G76" s="5">
        <v>1118.0</v>
      </c>
      <c r="H76" s="5">
        <v>2580.0</v>
      </c>
      <c r="I76" s="5">
        <v>2884440.0</v>
      </c>
      <c r="J76" s="2" t="s">
        <v>927</v>
      </c>
      <c r="K76" s="4" t="s">
        <v>994</v>
      </c>
      <c r="L76" s="3">
        <v>46185.84468155092</v>
      </c>
      <c r="M76" s="2" t="s">
        <v>995</v>
      </c>
      <c r="N76" s="29"/>
      <c r="O76" s="29"/>
      <c r="Q76" s="2" t="s">
        <v>996</v>
      </c>
      <c r="R76" s="2" t="s">
        <v>997</v>
      </c>
      <c r="S76" s="4">
        <v>2024.0</v>
      </c>
      <c r="T76" s="30"/>
      <c r="U76" s="2" t="s">
        <v>998</v>
      </c>
    </row>
    <row r="77">
      <c r="A77" s="2" t="s">
        <v>1049</v>
      </c>
      <c r="B77" s="2" t="s">
        <v>17</v>
      </c>
      <c r="C77" s="4">
        <v>2024.0</v>
      </c>
      <c r="D77" s="4">
        <v>10.0</v>
      </c>
      <c r="E77" s="29"/>
      <c r="F77" s="4">
        <v>1.0</v>
      </c>
      <c r="G77" s="5">
        <v>3841.0</v>
      </c>
      <c r="H77" s="5">
        <v>2670.0</v>
      </c>
      <c r="I77" s="5">
        <v>1.025547E7</v>
      </c>
      <c r="J77" s="2" t="s">
        <v>927</v>
      </c>
      <c r="K77" s="4" t="s">
        <v>994</v>
      </c>
      <c r="L77" s="3">
        <v>46185.84468155092</v>
      </c>
      <c r="M77" s="2" t="s">
        <v>995</v>
      </c>
      <c r="N77" s="29"/>
      <c r="O77" s="29"/>
      <c r="Q77" s="2" t="s">
        <v>996</v>
      </c>
      <c r="R77" s="2" t="s">
        <v>997</v>
      </c>
      <c r="S77" s="4">
        <v>2024.0</v>
      </c>
      <c r="T77" s="30"/>
      <c r="U77" s="2" t="s">
        <v>998</v>
      </c>
    </row>
    <row r="78">
      <c r="A78" s="2" t="s">
        <v>1050</v>
      </c>
      <c r="B78" s="2" t="s">
        <v>17</v>
      </c>
      <c r="C78" s="4">
        <v>2024.0</v>
      </c>
      <c r="D78" s="4">
        <v>10.0</v>
      </c>
      <c r="E78" s="29"/>
      <c r="F78" s="4">
        <v>1.0</v>
      </c>
      <c r="G78" s="5">
        <v>7315.0</v>
      </c>
      <c r="H78" s="5">
        <v>2700.0</v>
      </c>
      <c r="I78" s="5">
        <v>1.97505E7</v>
      </c>
      <c r="J78" s="2" t="s">
        <v>927</v>
      </c>
      <c r="K78" s="4" t="s">
        <v>994</v>
      </c>
      <c r="L78" s="3">
        <v>46185.84468155092</v>
      </c>
      <c r="M78" s="2" t="s">
        <v>995</v>
      </c>
      <c r="N78" s="29"/>
      <c r="O78" s="29"/>
      <c r="Q78" s="2" t="s">
        <v>996</v>
      </c>
      <c r="R78" s="2" t="s">
        <v>997</v>
      </c>
      <c r="S78" s="4">
        <v>2024.0</v>
      </c>
      <c r="T78" s="30"/>
      <c r="U78" s="2" t="s">
        <v>998</v>
      </c>
    </row>
    <row r="79">
      <c r="A79" s="2" t="s">
        <v>1051</v>
      </c>
      <c r="B79" s="2" t="s">
        <v>17</v>
      </c>
      <c r="C79" s="4">
        <v>2024.0</v>
      </c>
      <c r="D79" s="4">
        <v>10.0</v>
      </c>
      <c r="E79" s="29"/>
      <c r="F79" s="4">
        <v>1.0</v>
      </c>
      <c r="G79" s="5">
        <v>1579.0</v>
      </c>
      <c r="H79" s="5">
        <v>2690.0</v>
      </c>
      <c r="I79" s="5">
        <v>4247510.0</v>
      </c>
      <c r="J79" s="2" t="s">
        <v>927</v>
      </c>
      <c r="K79" s="4" t="s">
        <v>994</v>
      </c>
      <c r="L79" s="3">
        <v>46185.84468155092</v>
      </c>
      <c r="M79" s="2" t="s">
        <v>995</v>
      </c>
      <c r="N79" s="29"/>
      <c r="O79" s="29"/>
      <c r="Q79" s="2" t="s">
        <v>996</v>
      </c>
      <c r="R79" s="2" t="s">
        <v>997</v>
      </c>
      <c r="S79" s="4">
        <v>2024.0</v>
      </c>
      <c r="T79" s="30"/>
      <c r="U79" s="2" t="s">
        <v>998</v>
      </c>
    </row>
    <row r="80">
      <c r="A80" s="2" t="s">
        <v>1052</v>
      </c>
      <c r="B80" s="2" t="s">
        <v>17</v>
      </c>
      <c r="C80" s="4">
        <v>2024.0</v>
      </c>
      <c r="D80" s="4">
        <v>10.0</v>
      </c>
      <c r="E80" s="29"/>
      <c r="F80" s="4">
        <v>2.0</v>
      </c>
      <c r="G80" s="5">
        <v>13950.0</v>
      </c>
      <c r="H80" s="5">
        <v>2850.0</v>
      </c>
      <c r="I80" s="5">
        <v>3.97575E7</v>
      </c>
      <c r="J80" s="2" t="s">
        <v>928</v>
      </c>
      <c r="K80" s="4" t="s">
        <v>994</v>
      </c>
      <c r="L80" s="3">
        <v>46185.84468155092</v>
      </c>
      <c r="M80" s="2" t="s">
        <v>995</v>
      </c>
      <c r="N80" s="29"/>
      <c r="O80" s="29"/>
      <c r="Q80" s="2" t="s">
        <v>996</v>
      </c>
      <c r="R80" s="2" t="s">
        <v>997</v>
      </c>
      <c r="S80" s="4">
        <v>2024.0</v>
      </c>
      <c r="T80" s="30"/>
      <c r="U80" s="2" t="s">
        <v>998</v>
      </c>
    </row>
    <row r="81">
      <c r="A81" s="2" t="s">
        <v>1053</v>
      </c>
      <c r="B81" s="2" t="s">
        <v>17</v>
      </c>
      <c r="C81" s="4">
        <v>2024.0</v>
      </c>
      <c r="D81" s="4">
        <v>10.0</v>
      </c>
      <c r="E81" s="29"/>
      <c r="F81" s="4">
        <v>2.0</v>
      </c>
      <c r="G81" s="5">
        <v>8763.0</v>
      </c>
      <c r="H81" s="5">
        <v>2940.0</v>
      </c>
      <c r="I81" s="5">
        <v>2.576322E7</v>
      </c>
      <c r="J81" s="2" t="s">
        <v>928</v>
      </c>
      <c r="K81" s="4" t="s">
        <v>994</v>
      </c>
      <c r="L81" s="3">
        <v>46185.84468155092</v>
      </c>
      <c r="M81" s="2" t="s">
        <v>995</v>
      </c>
      <c r="N81" s="29"/>
      <c r="O81" s="29"/>
      <c r="Q81" s="2" t="s">
        <v>996</v>
      </c>
      <c r="R81" s="2" t="s">
        <v>997</v>
      </c>
      <c r="S81" s="4">
        <v>2024.0</v>
      </c>
      <c r="T81" s="30"/>
      <c r="U81" s="2" t="s">
        <v>998</v>
      </c>
    </row>
    <row r="82">
      <c r="A82" s="2" t="s">
        <v>1054</v>
      </c>
      <c r="B82" s="2" t="s">
        <v>17</v>
      </c>
      <c r="C82" s="4">
        <v>2024.0</v>
      </c>
      <c r="D82" s="4">
        <v>10.0</v>
      </c>
      <c r="E82" s="29"/>
      <c r="F82" s="4">
        <v>2.0</v>
      </c>
      <c r="G82" s="5">
        <v>5083.0</v>
      </c>
      <c r="H82" s="5">
        <v>2900.0</v>
      </c>
      <c r="I82" s="5">
        <v>1.47407E7</v>
      </c>
      <c r="J82" s="2" t="s">
        <v>928</v>
      </c>
      <c r="K82" s="4" t="s">
        <v>994</v>
      </c>
      <c r="L82" s="3">
        <v>46185.84468155092</v>
      </c>
      <c r="M82" s="2" t="s">
        <v>995</v>
      </c>
      <c r="N82" s="29"/>
      <c r="O82" s="29"/>
      <c r="Q82" s="2" t="s">
        <v>996</v>
      </c>
      <c r="R82" s="2" t="s">
        <v>997</v>
      </c>
      <c r="S82" s="4">
        <v>2024.0</v>
      </c>
      <c r="T82" s="30"/>
      <c r="U82" s="2" t="s">
        <v>998</v>
      </c>
    </row>
    <row r="83">
      <c r="A83" s="2" t="s">
        <v>1055</v>
      </c>
      <c r="B83" s="2" t="s">
        <v>17</v>
      </c>
      <c r="C83" s="4">
        <v>2024.0</v>
      </c>
      <c r="D83" s="4">
        <v>10.0</v>
      </c>
      <c r="E83" s="29"/>
      <c r="F83" s="4">
        <v>2.0</v>
      </c>
      <c r="G83" s="5">
        <v>2115.0</v>
      </c>
      <c r="H83" s="5">
        <v>2760.0</v>
      </c>
      <c r="I83" s="5">
        <v>5837400.0</v>
      </c>
      <c r="J83" s="2" t="s">
        <v>928</v>
      </c>
      <c r="K83" s="4" t="s">
        <v>994</v>
      </c>
      <c r="L83" s="3">
        <v>46185.84468155092</v>
      </c>
      <c r="M83" s="2" t="s">
        <v>995</v>
      </c>
      <c r="N83" s="29"/>
      <c r="O83" s="29"/>
      <c r="Q83" s="2" t="s">
        <v>996</v>
      </c>
      <c r="R83" s="2" t="s">
        <v>997</v>
      </c>
      <c r="S83" s="4">
        <v>2024.0</v>
      </c>
      <c r="T83" s="30"/>
      <c r="U83" s="2" t="s">
        <v>998</v>
      </c>
    </row>
    <row r="84">
      <c r="A84" s="2" t="s">
        <v>1056</v>
      </c>
      <c r="B84" s="2" t="s">
        <v>17</v>
      </c>
      <c r="C84" s="4">
        <v>2024.0</v>
      </c>
      <c r="D84" s="4">
        <v>10.0</v>
      </c>
      <c r="E84" s="29"/>
      <c r="F84" s="4">
        <v>2.0</v>
      </c>
      <c r="G84" s="5">
        <v>1062.0</v>
      </c>
      <c r="H84" s="5">
        <v>2880.0</v>
      </c>
      <c r="I84" s="5">
        <v>3058560.0</v>
      </c>
      <c r="J84" s="2" t="s">
        <v>928</v>
      </c>
      <c r="K84" s="4" t="s">
        <v>994</v>
      </c>
      <c r="L84" s="3">
        <v>46185.84468155092</v>
      </c>
      <c r="M84" s="2" t="s">
        <v>995</v>
      </c>
      <c r="N84" s="29"/>
      <c r="O84" s="29"/>
      <c r="Q84" s="2" t="s">
        <v>996</v>
      </c>
      <c r="R84" s="2" t="s">
        <v>997</v>
      </c>
      <c r="S84" s="4">
        <v>2024.0</v>
      </c>
      <c r="T84" s="30"/>
      <c r="U84" s="2" t="s">
        <v>998</v>
      </c>
    </row>
    <row r="85">
      <c r="A85" s="2" t="s">
        <v>1057</v>
      </c>
      <c r="B85" s="2" t="s">
        <v>17</v>
      </c>
      <c r="C85" s="4">
        <v>2024.0</v>
      </c>
      <c r="D85" s="4">
        <v>10.0</v>
      </c>
      <c r="E85" s="29"/>
      <c r="F85" s="4">
        <v>2.0</v>
      </c>
      <c r="G85" s="5">
        <v>1419.0</v>
      </c>
      <c r="H85" s="5">
        <v>2920.0</v>
      </c>
      <c r="I85" s="5">
        <v>4143480.0</v>
      </c>
      <c r="J85" s="2" t="s">
        <v>928</v>
      </c>
      <c r="K85" s="4" t="s">
        <v>994</v>
      </c>
      <c r="L85" s="3">
        <v>46185.84468155092</v>
      </c>
      <c r="M85" s="2" t="s">
        <v>995</v>
      </c>
      <c r="N85" s="29"/>
      <c r="O85" s="29"/>
      <c r="Q85" s="2" t="s">
        <v>996</v>
      </c>
      <c r="R85" s="2" t="s">
        <v>997</v>
      </c>
      <c r="S85" s="4">
        <v>2024.0</v>
      </c>
      <c r="T85" s="30"/>
      <c r="U85" s="2" t="s">
        <v>998</v>
      </c>
    </row>
    <row r="86">
      <c r="A86" s="2" t="s">
        <v>1058</v>
      </c>
      <c r="B86" s="2" t="s">
        <v>17</v>
      </c>
      <c r="C86" s="4">
        <v>2024.0</v>
      </c>
      <c r="D86" s="4">
        <v>11.0</v>
      </c>
      <c r="E86" s="29"/>
      <c r="F86" s="4">
        <v>1.0</v>
      </c>
      <c r="G86" s="5">
        <v>4864.0</v>
      </c>
      <c r="H86" s="5">
        <v>3200.0</v>
      </c>
      <c r="I86" s="5">
        <v>1.55648E7</v>
      </c>
      <c r="J86" s="2" t="s">
        <v>929</v>
      </c>
      <c r="K86" s="4" t="s">
        <v>994</v>
      </c>
      <c r="L86" s="3">
        <v>46185.84468155092</v>
      </c>
      <c r="M86" s="2" t="s">
        <v>995</v>
      </c>
      <c r="N86" s="29"/>
      <c r="O86" s="29"/>
      <c r="Q86" s="2" t="s">
        <v>996</v>
      </c>
      <c r="R86" s="2" t="s">
        <v>997</v>
      </c>
      <c r="S86" s="4">
        <v>2024.0</v>
      </c>
      <c r="T86" s="30"/>
      <c r="U86" s="2" t="s">
        <v>998</v>
      </c>
    </row>
    <row r="87">
      <c r="A87" s="2" t="s">
        <v>1059</v>
      </c>
      <c r="B87" s="2" t="s">
        <v>17</v>
      </c>
      <c r="C87" s="4">
        <v>2024.0</v>
      </c>
      <c r="D87" s="4">
        <v>11.0</v>
      </c>
      <c r="E87" s="29"/>
      <c r="F87" s="4">
        <v>1.0</v>
      </c>
      <c r="G87" s="5">
        <v>3992.0</v>
      </c>
      <c r="H87" s="5">
        <v>3200.0</v>
      </c>
      <c r="I87" s="5">
        <v>1.27744E7</v>
      </c>
      <c r="J87" s="2" t="s">
        <v>929</v>
      </c>
      <c r="K87" s="4" t="s">
        <v>994</v>
      </c>
      <c r="L87" s="3">
        <v>46185.84468155092</v>
      </c>
      <c r="M87" s="2" t="s">
        <v>995</v>
      </c>
      <c r="N87" s="29"/>
      <c r="O87" s="29"/>
      <c r="Q87" s="2" t="s">
        <v>996</v>
      </c>
      <c r="R87" s="2" t="s">
        <v>997</v>
      </c>
      <c r="S87" s="4">
        <v>2024.0</v>
      </c>
      <c r="T87" s="30"/>
      <c r="U87" s="2" t="s">
        <v>998</v>
      </c>
    </row>
    <row r="88">
      <c r="A88" s="2" t="s">
        <v>1060</v>
      </c>
      <c r="B88" s="2" t="s">
        <v>17</v>
      </c>
      <c r="C88" s="4">
        <v>2024.0</v>
      </c>
      <c r="D88" s="4">
        <v>11.0</v>
      </c>
      <c r="E88" s="29"/>
      <c r="F88" s="4">
        <v>1.0</v>
      </c>
      <c r="G88" s="5">
        <v>6492.0</v>
      </c>
      <c r="H88" s="5">
        <v>3230.0</v>
      </c>
      <c r="I88" s="5">
        <v>2.096916E7</v>
      </c>
      <c r="J88" s="2" t="s">
        <v>929</v>
      </c>
      <c r="K88" s="4" t="s">
        <v>994</v>
      </c>
      <c r="L88" s="3">
        <v>46185.84468155092</v>
      </c>
      <c r="M88" s="2" t="s">
        <v>995</v>
      </c>
      <c r="N88" s="29"/>
      <c r="O88" s="29"/>
      <c r="Q88" s="2" t="s">
        <v>996</v>
      </c>
      <c r="R88" s="2" t="s">
        <v>997</v>
      </c>
      <c r="S88" s="4">
        <v>2024.0</v>
      </c>
      <c r="T88" s="30"/>
      <c r="U88" s="2" t="s">
        <v>998</v>
      </c>
    </row>
    <row r="89">
      <c r="A89" s="2" t="s">
        <v>1061</v>
      </c>
      <c r="B89" s="2" t="s">
        <v>17</v>
      </c>
      <c r="C89" s="4">
        <v>2024.0</v>
      </c>
      <c r="D89" s="4">
        <v>11.0</v>
      </c>
      <c r="E89" s="29"/>
      <c r="F89" s="4">
        <v>2.0</v>
      </c>
      <c r="G89" s="5">
        <v>4796.0</v>
      </c>
      <c r="H89" s="5">
        <v>3150.0</v>
      </c>
      <c r="I89" s="5">
        <v>1.51074E7</v>
      </c>
      <c r="J89" s="2" t="s">
        <v>930</v>
      </c>
      <c r="K89" s="4" t="s">
        <v>994</v>
      </c>
      <c r="L89" s="3">
        <v>46185.84468155092</v>
      </c>
      <c r="M89" s="2" t="s">
        <v>995</v>
      </c>
      <c r="N89" s="29"/>
      <c r="O89" s="29"/>
      <c r="Q89" s="2" t="s">
        <v>996</v>
      </c>
      <c r="R89" s="2" t="s">
        <v>997</v>
      </c>
      <c r="S89" s="4">
        <v>2024.0</v>
      </c>
      <c r="T89" s="30"/>
      <c r="U89" s="2" t="s">
        <v>998</v>
      </c>
    </row>
    <row r="90">
      <c r="A90" s="2" t="s">
        <v>1062</v>
      </c>
      <c r="B90" s="2" t="s">
        <v>17</v>
      </c>
      <c r="C90" s="4">
        <v>2024.0</v>
      </c>
      <c r="D90" s="4">
        <v>11.0</v>
      </c>
      <c r="E90" s="29"/>
      <c r="F90" s="4">
        <v>2.0</v>
      </c>
      <c r="G90" s="5">
        <v>3714.0</v>
      </c>
      <c r="H90" s="5">
        <v>3150.0</v>
      </c>
      <c r="I90" s="5">
        <v>1.16991E7</v>
      </c>
      <c r="J90" s="2" t="s">
        <v>930</v>
      </c>
      <c r="K90" s="4" t="s">
        <v>994</v>
      </c>
      <c r="L90" s="3">
        <v>46185.84468155092</v>
      </c>
      <c r="M90" s="2" t="s">
        <v>995</v>
      </c>
      <c r="N90" s="29"/>
      <c r="O90" s="29"/>
      <c r="Q90" s="2" t="s">
        <v>996</v>
      </c>
      <c r="R90" s="2" t="s">
        <v>997</v>
      </c>
      <c r="S90" s="4">
        <v>2024.0</v>
      </c>
      <c r="T90" s="30"/>
      <c r="U90" s="2" t="s">
        <v>998</v>
      </c>
    </row>
    <row r="91">
      <c r="A91" s="2" t="s">
        <v>1063</v>
      </c>
      <c r="B91" s="2" t="s">
        <v>17</v>
      </c>
      <c r="C91" s="4">
        <v>2024.0</v>
      </c>
      <c r="D91" s="4">
        <v>11.0</v>
      </c>
      <c r="E91" s="29"/>
      <c r="F91" s="4">
        <v>2.0</v>
      </c>
      <c r="G91" s="5">
        <v>5877.0</v>
      </c>
      <c r="H91" s="5">
        <v>3200.0</v>
      </c>
      <c r="I91" s="5">
        <v>1.88064E7</v>
      </c>
      <c r="J91" s="2" t="s">
        <v>930</v>
      </c>
      <c r="K91" s="4" t="s">
        <v>994</v>
      </c>
      <c r="L91" s="3">
        <v>46185.84468155092</v>
      </c>
      <c r="M91" s="2" t="s">
        <v>995</v>
      </c>
      <c r="N91" s="29"/>
      <c r="O91" s="29"/>
      <c r="Q91" s="2" t="s">
        <v>996</v>
      </c>
      <c r="R91" s="2" t="s">
        <v>997</v>
      </c>
      <c r="S91" s="4">
        <v>2024.0</v>
      </c>
      <c r="T91" s="30"/>
      <c r="U91" s="2" t="s">
        <v>998</v>
      </c>
    </row>
    <row r="92">
      <c r="A92" s="2" t="s">
        <v>1064</v>
      </c>
      <c r="B92" s="2" t="s">
        <v>17</v>
      </c>
      <c r="C92" s="4">
        <v>2024.0</v>
      </c>
      <c r="D92" s="4">
        <v>12.0</v>
      </c>
      <c r="E92" s="29"/>
      <c r="F92" s="4">
        <v>1.0</v>
      </c>
      <c r="G92" s="5">
        <v>8438.0</v>
      </c>
      <c r="H92" s="5">
        <v>3210.0</v>
      </c>
      <c r="I92" s="5">
        <v>2.708598E7</v>
      </c>
      <c r="J92" s="2" t="s">
        <v>931</v>
      </c>
      <c r="K92" s="4" t="s">
        <v>994</v>
      </c>
      <c r="L92" s="3">
        <v>46185.84468155092</v>
      </c>
      <c r="M92" s="2" t="s">
        <v>995</v>
      </c>
      <c r="N92" s="29"/>
      <c r="O92" s="29"/>
      <c r="Q92" s="2" t="s">
        <v>996</v>
      </c>
      <c r="R92" s="2" t="s">
        <v>997</v>
      </c>
      <c r="S92" s="4">
        <v>2024.0</v>
      </c>
      <c r="T92" s="30"/>
      <c r="U92" s="2" t="s">
        <v>998</v>
      </c>
    </row>
    <row r="93">
      <c r="A93" s="2" t="s">
        <v>1065</v>
      </c>
      <c r="B93" s="2" t="s">
        <v>17</v>
      </c>
      <c r="C93" s="4">
        <v>2024.0</v>
      </c>
      <c r="D93" s="4">
        <v>12.0</v>
      </c>
      <c r="E93" s="29"/>
      <c r="F93" s="4">
        <v>1.0</v>
      </c>
      <c r="G93" s="5">
        <v>4642.0</v>
      </c>
      <c r="H93" s="5">
        <v>3290.0</v>
      </c>
      <c r="I93" s="5">
        <v>1.527218E7</v>
      </c>
      <c r="J93" s="2" t="s">
        <v>931</v>
      </c>
      <c r="K93" s="4" t="s">
        <v>994</v>
      </c>
      <c r="L93" s="3">
        <v>46185.84468155092</v>
      </c>
      <c r="M93" s="2" t="s">
        <v>995</v>
      </c>
      <c r="N93" s="29"/>
      <c r="O93" s="29"/>
      <c r="Q93" s="2" t="s">
        <v>996</v>
      </c>
      <c r="R93" s="2" t="s">
        <v>997</v>
      </c>
      <c r="S93" s="4">
        <v>2024.0</v>
      </c>
      <c r="T93" s="30"/>
      <c r="U93" s="2" t="s">
        <v>998</v>
      </c>
    </row>
    <row r="94">
      <c r="A94" s="2" t="s">
        <v>1066</v>
      </c>
      <c r="B94" s="2" t="s">
        <v>17</v>
      </c>
      <c r="C94" s="4">
        <v>2024.0</v>
      </c>
      <c r="D94" s="4">
        <v>12.0</v>
      </c>
      <c r="E94" s="29"/>
      <c r="F94" s="4">
        <v>1.0</v>
      </c>
      <c r="G94" s="5">
        <v>2452.0</v>
      </c>
      <c r="H94" s="5">
        <v>3250.0</v>
      </c>
      <c r="I94" s="5">
        <v>7969000.0</v>
      </c>
      <c r="J94" s="2" t="s">
        <v>931</v>
      </c>
      <c r="K94" s="4" t="s">
        <v>994</v>
      </c>
      <c r="L94" s="3">
        <v>46185.84468155092</v>
      </c>
      <c r="M94" s="2" t="s">
        <v>995</v>
      </c>
      <c r="N94" s="29"/>
      <c r="O94" s="29"/>
      <c r="Q94" s="2" t="s">
        <v>996</v>
      </c>
      <c r="R94" s="2" t="s">
        <v>997</v>
      </c>
      <c r="S94" s="4">
        <v>2024.0</v>
      </c>
      <c r="T94" s="30"/>
      <c r="U94" s="2" t="s">
        <v>998</v>
      </c>
    </row>
    <row r="95">
      <c r="A95" s="2" t="s">
        <v>1067</v>
      </c>
      <c r="B95" s="2" t="s">
        <v>17</v>
      </c>
      <c r="C95" s="4">
        <v>2024.0</v>
      </c>
      <c r="D95" s="4">
        <v>12.0</v>
      </c>
      <c r="E95" s="29"/>
      <c r="F95" s="4">
        <v>1.0</v>
      </c>
      <c r="G95" s="5">
        <v>3213.0</v>
      </c>
      <c r="H95" s="5">
        <v>3160.0</v>
      </c>
      <c r="I95" s="5">
        <v>1.015308E7</v>
      </c>
      <c r="J95" s="2" t="s">
        <v>931</v>
      </c>
      <c r="K95" s="4" t="s">
        <v>994</v>
      </c>
      <c r="L95" s="3">
        <v>46185.84468155092</v>
      </c>
      <c r="M95" s="2" t="s">
        <v>995</v>
      </c>
      <c r="N95" s="29"/>
      <c r="O95" s="29"/>
      <c r="Q95" s="2" t="s">
        <v>996</v>
      </c>
      <c r="R95" s="2" t="s">
        <v>997</v>
      </c>
      <c r="S95" s="4">
        <v>2024.0</v>
      </c>
      <c r="T95" s="30"/>
      <c r="U95" s="2" t="s">
        <v>998</v>
      </c>
    </row>
    <row r="96">
      <c r="A96" s="2" t="s">
        <v>1068</v>
      </c>
      <c r="B96" s="2" t="s">
        <v>17</v>
      </c>
      <c r="C96" s="4">
        <v>2024.0</v>
      </c>
      <c r="D96" s="4">
        <v>12.0</v>
      </c>
      <c r="E96" s="29"/>
      <c r="F96" s="4">
        <v>2.0</v>
      </c>
      <c r="G96" s="5">
        <v>3958.0</v>
      </c>
      <c r="H96" s="5">
        <v>3350.0</v>
      </c>
      <c r="I96" s="5">
        <v>1.32593E7</v>
      </c>
      <c r="J96" s="2" t="s">
        <v>932</v>
      </c>
      <c r="K96" s="4" t="s">
        <v>994</v>
      </c>
      <c r="L96" s="3">
        <v>46185.84468155092</v>
      </c>
      <c r="M96" s="2" t="s">
        <v>995</v>
      </c>
      <c r="N96" s="29"/>
      <c r="O96" s="29"/>
      <c r="Q96" s="2" t="s">
        <v>996</v>
      </c>
      <c r="R96" s="2" t="s">
        <v>997</v>
      </c>
      <c r="S96" s="4">
        <v>2024.0</v>
      </c>
      <c r="T96" s="30"/>
      <c r="U96" s="2" t="s">
        <v>998</v>
      </c>
    </row>
    <row r="97">
      <c r="A97" s="2" t="s">
        <v>1069</v>
      </c>
      <c r="B97" s="2" t="s">
        <v>17</v>
      </c>
      <c r="C97" s="4">
        <v>2024.0</v>
      </c>
      <c r="D97" s="4">
        <v>12.0</v>
      </c>
      <c r="E97" s="29"/>
      <c r="F97" s="4">
        <v>2.0</v>
      </c>
      <c r="G97" s="5">
        <v>5216.0</v>
      </c>
      <c r="H97" s="5">
        <v>3270.0</v>
      </c>
      <c r="I97" s="5">
        <v>1.705632E7</v>
      </c>
      <c r="J97" s="2" t="s">
        <v>932</v>
      </c>
      <c r="K97" s="4" t="s">
        <v>994</v>
      </c>
      <c r="L97" s="3">
        <v>46185.84468155092</v>
      </c>
      <c r="M97" s="2" t="s">
        <v>995</v>
      </c>
      <c r="N97" s="29"/>
      <c r="O97" s="29"/>
      <c r="Q97" s="2" t="s">
        <v>996</v>
      </c>
      <c r="R97" s="2" t="s">
        <v>997</v>
      </c>
      <c r="S97" s="4">
        <v>2024.0</v>
      </c>
      <c r="T97" s="30"/>
      <c r="U97" s="2" t="s">
        <v>998</v>
      </c>
    </row>
    <row r="98">
      <c r="A98" s="2" t="s">
        <v>1070</v>
      </c>
      <c r="B98" s="2" t="s">
        <v>17</v>
      </c>
      <c r="C98" s="4">
        <v>2024.0</v>
      </c>
      <c r="D98" s="4">
        <v>12.0</v>
      </c>
      <c r="E98" s="29"/>
      <c r="F98" s="4">
        <v>2.0</v>
      </c>
      <c r="G98" s="5">
        <v>3223.0</v>
      </c>
      <c r="H98" s="5">
        <v>3250.0</v>
      </c>
      <c r="I98" s="5">
        <v>1.047475E7</v>
      </c>
      <c r="J98" s="2" t="s">
        <v>932</v>
      </c>
      <c r="K98" s="4" t="s">
        <v>994</v>
      </c>
      <c r="L98" s="3">
        <v>46185.84468155092</v>
      </c>
      <c r="M98" s="2" t="s">
        <v>995</v>
      </c>
      <c r="N98" s="29"/>
      <c r="O98" s="29"/>
      <c r="Q98" s="2" t="s">
        <v>996</v>
      </c>
      <c r="R98" s="2" t="s">
        <v>997</v>
      </c>
      <c r="S98" s="4">
        <v>2024.0</v>
      </c>
      <c r="T98" s="30"/>
      <c r="U98" s="2" t="s">
        <v>998</v>
      </c>
    </row>
    <row r="99">
      <c r="A99" s="2" t="s">
        <v>1071</v>
      </c>
      <c r="B99" s="2" t="s">
        <v>17</v>
      </c>
      <c r="C99" s="4">
        <v>2024.0</v>
      </c>
      <c r="D99" s="4">
        <v>12.0</v>
      </c>
      <c r="E99" s="29"/>
      <c r="F99" s="4">
        <v>2.0</v>
      </c>
      <c r="G99" s="5">
        <v>1052.0</v>
      </c>
      <c r="H99" s="5">
        <v>3000.0</v>
      </c>
      <c r="I99" s="5">
        <v>3156000.0</v>
      </c>
      <c r="J99" s="2" t="s">
        <v>932</v>
      </c>
      <c r="K99" s="4" t="s">
        <v>994</v>
      </c>
      <c r="L99" s="3">
        <v>46185.84468155092</v>
      </c>
      <c r="M99" s="2" t="s">
        <v>995</v>
      </c>
      <c r="N99" s="29"/>
      <c r="O99" s="29"/>
      <c r="Q99" s="2" t="s">
        <v>996</v>
      </c>
      <c r="R99" s="2" t="s">
        <v>997</v>
      </c>
      <c r="S99" s="4">
        <v>2024.0</v>
      </c>
      <c r="T99" s="30"/>
      <c r="U99" s="2" t="s">
        <v>998</v>
      </c>
    </row>
    <row r="100">
      <c r="A100" s="2" t="s">
        <v>1072</v>
      </c>
      <c r="B100" s="2" t="s">
        <v>17</v>
      </c>
      <c r="C100" s="4">
        <v>2024.0</v>
      </c>
      <c r="D100" s="4">
        <v>12.0</v>
      </c>
      <c r="E100" s="29"/>
      <c r="F100" s="4">
        <v>2.0</v>
      </c>
      <c r="G100" s="5">
        <v>1128.0</v>
      </c>
      <c r="H100" s="5">
        <v>3130.0</v>
      </c>
      <c r="I100" s="5">
        <v>3530640.0</v>
      </c>
      <c r="J100" s="2" t="s">
        <v>932</v>
      </c>
      <c r="K100" s="4" t="s">
        <v>994</v>
      </c>
      <c r="L100" s="3">
        <v>46185.84468155092</v>
      </c>
      <c r="M100" s="2" t="s">
        <v>995</v>
      </c>
      <c r="N100" s="29"/>
      <c r="O100" s="29"/>
      <c r="Q100" s="2" t="s">
        <v>996</v>
      </c>
      <c r="R100" s="2" t="s">
        <v>997</v>
      </c>
      <c r="S100" s="4">
        <v>2024.0</v>
      </c>
      <c r="T100" s="30"/>
      <c r="U100" s="2" t="s">
        <v>998</v>
      </c>
    </row>
  </sheetData>
  <autoFilter ref="$A$1:$U$1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563EB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hidden="1" min="1" max="1" width="23.63"/>
    <col customWidth="1" min="2" max="2" width="8.0"/>
    <col customWidth="1" min="3" max="4" width="12.0"/>
    <col customWidth="1" min="5" max="5" width="12.38"/>
    <col customWidth="1" min="6" max="6" width="10.38"/>
    <col customWidth="1" min="7" max="7" width="12.63"/>
    <col customWidth="1" min="8" max="8" width="18.63"/>
    <col customWidth="1" min="9" max="9" width="18.88"/>
    <col customWidth="1" min="10" max="10" width="12.63"/>
    <col customWidth="1" hidden="1" min="11" max="11" width="43.63"/>
    <col customWidth="1" hidden="1" min="12" max="12" width="11.88"/>
    <col customWidth="1" hidden="1" min="13" max="13" width="39.5"/>
    <col customWidth="1" hidden="1" min="14" max="14" width="11.13"/>
    <col customWidth="1" hidden="1" min="15" max="15" width="11.5"/>
    <col customWidth="1" hidden="1" min="16" max="16" width="12.0"/>
    <col customWidth="1" hidden="1" min="17" max="17" width="36.13"/>
    <col customWidth="1" hidden="1" min="18" max="18" width="18.63"/>
    <col customWidth="1" hidden="1" min="19" max="19" width="12.13"/>
    <col customWidth="1" hidden="1" min="20" max="20" width="12.0"/>
    <col customWidth="1" hidden="1" min="21" max="21" width="32.88"/>
  </cols>
  <sheetData>
    <row r="1">
      <c r="A1" s="28" t="s">
        <v>0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13</v>
      </c>
      <c r="G1" s="28" t="s">
        <v>599</v>
      </c>
      <c r="H1" s="28" t="s">
        <v>600</v>
      </c>
      <c r="I1" s="28" t="s">
        <v>10</v>
      </c>
      <c r="J1" s="28" t="s">
        <v>9</v>
      </c>
      <c r="K1" s="28" t="s">
        <v>12</v>
      </c>
      <c r="L1" s="28" t="s">
        <v>143</v>
      </c>
      <c r="M1" s="28" t="s">
        <v>144</v>
      </c>
      <c r="N1" s="28" t="s">
        <v>1</v>
      </c>
      <c r="O1" s="28" t="s">
        <v>2</v>
      </c>
      <c r="P1" s="28" t="s">
        <v>11</v>
      </c>
      <c r="Q1" s="28" t="s">
        <v>14</v>
      </c>
      <c r="R1" s="28" t="s">
        <v>942</v>
      </c>
      <c r="S1" s="28" t="s">
        <v>145</v>
      </c>
      <c r="T1" s="28" t="s">
        <v>146</v>
      </c>
      <c r="U1" s="28" t="s">
        <v>147</v>
      </c>
    </row>
    <row r="2">
      <c r="A2" s="2" t="s">
        <v>1073</v>
      </c>
      <c r="B2" s="2" t="s">
        <v>17</v>
      </c>
      <c r="C2" s="4">
        <v>2025.0</v>
      </c>
      <c r="D2" s="4">
        <v>1.0</v>
      </c>
      <c r="E2" s="3">
        <v>46010.0</v>
      </c>
      <c r="F2" s="4">
        <v>1.0</v>
      </c>
      <c r="G2" s="2" t="s">
        <v>602</v>
      </c>
      <c r="H2" s="5" t="s">
        <v>169</v>
      </c>
      <c r="I2" s="2" t="s">
        <v>1074</v>
      </c>
      <c r="J2" s="5">
        <v>1350000.0</v>
      </c>
      <c r="K2" s="4" t="s">
        <v>945</v>
      </c>
      <c r="L2" s="3">
        <v>46183.42285879629</v>
      </c>
      <c r="M2" s="2" t="s">
        <v>946</v>
      </c>
      <c r="N2" s="29"/>
      <c r="O2" s="29"/>
      <c r="S2" s="30"/>
      <c r="T2" s="30"/>
    </row>
    <row r="3">
      <c r="A3" s="2" t="s">
        <v>1075</v>
      </c>
      <c r="B3" s="2" t="s">
        <v>17</v>
      </c>
      <c r="C3" s="4">
        <v>2025.0</v>
      </c>
      <c r="D3" s="4">
        <v>1.0</v>
      </c>
      <c r="E3" s="3">
        <v>46010.0</v>
      </c>
      <c r="F3" s="4">
        <v>1.0</v>
      </c>
      <c r="G3" s="2" t="s">
        <v>602</v>
      </c>
      <c r="H3" s="5" t="s">
        <v>176</v>
      </c>
      <c r="I3" s="2" t="s">
        <v>1076</v>
      </c>
      <c r="J3" s="5">
        <v>2640000.0</v>
      </c>
      <c r="K3" s="4" t="s">
        <v>945</v>
      </c>
      <c r="L3" s="3">
        <v>46183.42285879629</v>
      </c>
      <c r="M3" s="2" t="s">
        <v>946</v>
      </c>
      <c r="N3" s="29"/>
      <c r="O3" s="29"/>
      <c r="S3" s="30"/>
      <c r="T3" s="30"/>
    </row>
    <row r="4">
      <c r="A4" s="2" t="s">
        <v>1077</v>
      </c>
      <c r="B4" s="2" t="s">
        <v>17</v>
      </c>
      <c r="C4" s="4">
        <v>2025.0</v>
      </c>
      <c r="D4" s="4">
        <v>1.0</v>
      </c>
      <c r="E4" s="3">
        <v>46010.0</v>
      </c>
      <c r="F4" s="4">
        <v>1.0</v>
      </c>
      <c r="G4" s="2" t="s">
        <v>602</v>
      </c>
      <c r="H4" s="5" t="s">
        <v>183</v>
      </c>
      <c r="J4" s="5">
        <v>400000.0</v>
      </c>
      <c r="K4" s="4" t="s">
        <v>945</v>
      </c>
      <c r="L4" s="3">
        <v>46183.42285879629</v>
      </c>
      <c r="M4" s="2" t="s">
        <v>946</v>
      </c>
      <c r="N4" s="29"/>
      <c r="O4" s="29"/>
      <c r="S4" s="30"/>
      <c r="T4" s="30"/>
    </row>
    <row r="5">
      <c r="A5" s="2" t="s">
        <v>1078</v>
      </c>
      <c r="B5" s="2" t="s">
        <v>17</v>
      </c>
      <c r="C5" s="4">
        <v>2025.0</v>
      </c>
      <c r="D5" s="4">
        <v>1.0</v>
      </c>
      <c r="E5" s="3">
        <v>46010.0</v>
      </c>
      <c r="F5" s="4">
        <v>1.0</v>
      </c>
      <c r="G5" s="2" t="s">
        <v>602</v>
      </c>
      <c r="H5" s="5" t="s">
        <v>188</v>
      </c>
      <c r="J5" s="5">
        <v>150000.0</v>
      </c>
      <c r="K5" s="4" t="s">
        <v>945</v>
      </c>
      <c r="L5" s="3">
        <v>46183.42285879629</v>
      </c>
      <c r="M5" s="2" t="s">
        <v>946</v>
      </c>
      <c r="N5" s="29"/>
      <c r="O5" s="29"/>
      <c r="S5" s="30"/>
      <c r="T5" s="30"/>
    </row>
    <row r="6">
      <c r="A6" s="2" t="s">
        <v>1079</v>
      </c>
      <c r="B6" s="2" t="s">
        <v>17</v>
      </c>
      <c r="C6" s="4">
        <v>2025.0</v>
      </c>
      <c r="D6" s="4">
        <v>1.0</v>
      </c>
      <c r="E6" s="3">
        <v>46010.0</v>
      </c>
      <c r="F6" s="4">
        <v>1.0</v>
      </c>
      <c r="G6" s="2" t="s">
        <v>613</v>
      </c>
      <c r="H6" s="5" t="s">
        <v>1080</v>
      </c>
      <c r="J6" s="5">
        <v>825000.0</v>
      </c>
      <c r="K6" s="4" t="s">
        <v>945</v>
      </c>
      <c r="L6" s="3">
        <v>46183.42285879629</v>
      </c>
      <c r="M6" s="2" t="s">
        <v>946</v>
      </c>
      <c r="N6" s="29"/>
      <c r="O6" s="29"/>
      <c r="S6" s="30"/>
      <c r="T6" s="30"/>
    </row>
    <row r="7">
      <c r="A7" s="2" t="s">
        <v>1081</v>
      </c>
      <c r="B7" s="2" t="s">
        <v>17</v>
      </c>
      <c r="C7" s="4">
        <v>2025.0</v>
      </c>
      <c r="D7" s="4">
        <v>1.0</v>
      </c>
      <c r="E7" s="3">
        <v>46010.0</v>
      </c>
      <c r="F7" s="4">
        <v>1.0</v>
      </c>
      <c r="G7" s="2" t="s">
        <v>613</v>
      </c>
      <c r="H7" s="5" t="s">
        <v>211</v>
      </c>
      <c r="J7" s="5">
        <v>1096000.0</v>
      </c>
      <c r="K7" s="4" t="s">
        <v>945</v>
      </c>
      <c r="L7" s="3">
        <v>46183.42285879629</v>
      </c>
      <c r="M7" s="2" t="s">
        <v>946</v>
      </c>
      <c r="N7" s="29"/>
      <c r="O7" s="29"/>
      <c r="S7" s="30"/>
      <c r="T7" s="30"/>
    </row>
    <row r="8">
      <c r="A8" s="2" t="s">
        <v>1082</v>
      </c>
      <c r="B8" s="2" t="s">
        <v>17</v>
      </c>
      <c r="C8" s="4">
        <v>2025.0</v>
      </c>
      <c r="D8" s="4">
        <v>1.0</v>
      </c>
      <c r="E8" s="3">
        <v>46010.0</v>
      </c>
      <c r="F8" s="4">
        <v>1.0</v>
      </c>
      <c r="G8" s="2" t="s">
        <v>602</v>
      </c>
      <c r="H8" s="5" t="s">
        <v>1083</v>
      </c>
      <c r="J8" s="5">
        <v>295000.0</v>
      </c>
      <c r="K8" s="4" t="s">
        <v>945</v>
      </c>
      <c r="L8" s="3">
        <v>46183.42285879629</v>
      </c>
      <c r="M8" s="2" t="s">
        <v>946</v>
      </c>
      <c r="N8" s="29"/>
      <c r="O8" s="29"/>
      <c r="S8" s="30"/>
      <c r="T8" s="30"/>
    </row>
    <row r="9">
      <c r="A9" s="2" t="s">
        <v>1084</v>
      </c>
      <c r="B9" s="2" t="s">
        <v>17</v>
      </c>
      <c r="C9" s="4">
        <v>2025.0</v>
      </c>
      <c r="D9" s="4">
        <v>1.0</v>
      </c>
      <c r="E9" s="3">
        <v>46010.0</v>
      </c>
      <c r="F9" s="4">
        <v>1.0</v>
      </c>
      <c r="G9" s="2" t="s">
        <v>613</v>
      </c>
      <c r="H9" s="5" t="s">
        <v>235</v>
      </c>
      <c r="J9" s="5">
        <v>665000.0</v>
      </c>
      <c r="K9" s="4" t="s">
        <v>945</v>
      </c>
      <c r="L9" s="3">
        <v>46183.42285879629</v>
      </c>
      <c r="M9" s="2" t="s">
        <v>946</v>
      </c>
      <c r="N9" s="29"/>
      <c r="O9" s="29"/>
      <c r="S9" s="30"/>
      <c r="T9" s="30"/>
    </row>
    <row r="10">
      <c r="A10" s="2" t="s">
        <v>1085</v>
      </c>
      <c r="B10" s="2" t="s">
        <v>17</v>
      </c>
      <c r="C10" s="4">
        <v>2025.0</v>
      </c>
      <c r="D10" s="4">
        <v>1.0</v>
      </c>
      <c r="E10" s="3">
        <v>46010.0</v>
      </c>
      <c r="F10" s="4">
        <v>1.0</v>
      </c>
      <c r="G10" s="2" t="s">
        <v>237</v>
      </c>
      <c r="H10" s="5" t="s">
        <v>237</v>
      </c>
      <c r="J10" s="5">
        <v>4500000.0</v>
      </c>
      <c r="K10" s="4" t="s">
        <v>945</v>
      </c>
      <c r="L10" s="3">
        <v>46183.42285879629</v>
      </c>
      <c r="M10" s="2" t="s">
        <v>946</v>
      </c>
      <c r="N10" s="29"/>
      <c r="O10" s="29"/>
      <c r="S10" s="30"/>
      <c r="T10" s="30"/>
    </row>
    <row r="11">
      <c r="A11" s="2" t="s">
        <v>1086</v>
      </c>
      <c r="B11" s="2" t="s">
        <v>17</v>
      </c>
      <c r="C11" s="4">
        <v>2025.0</v>
      </c>
      <c r="D11" s="4">
        <v>1.0</v>
      </c>
      <c r="E11" s="3">
        <v>46010.0</v>
      </c>
      <c r="F11" s="4">
        <v>1.0</v>
      </c>
      <c r="G11" s="2" t="s">
        <v>613</v>
      </c>
      <c r="H11" s="5" t="s">
        <v>200</v>
      </c>
      <c r="J11" s="5">
        <v>110000.0</v>
      </c>
      <c r="K11" s="4" t="s">
        <v>945</v>
      </c>
      <c r="L11" s="3">
        <v>46183.42285879629</v>
      </c>
      <c r="M11" s="2" t="s">
        <v>946</v>
      </c>
      <c r="N11" s="29"/>
      <c r="O11" s="29"/>
      <c r="S11" s="30"/>
      <c r="T11" s="30"/>
    </row>
    <row r="12">
      <c r="A12" s="2" t="s">
        <v>1087</v>
      </c>
      <c r="B12" s="2" t="s">
        <v>17</v>
      </c>
      <c r="C12" s="4">
        <v>2025.0</v>
      </c>
      <c r="D12" s="4">
        <v>1.0</v>
      </c>
      <c r="E12" s="3">
        <v>46010.0</v>
      </c>
      <c r="F12" s="4">
        <v>1.0</v>
      </c>
      <c r="G12" s="2" t="s">
        <v>613</v>
      </c>
      <c r="H12" s="5" t="s">
        <v>1088</v>
      </c>
      <c r="J12" s="5">
        <v>50000.0</v>
      </c>
      <c r="K12" s="4" t="s">
        <v>945</v>
      </c>
      <c r="L12" s="3">
        <v>46183.42285879629</v>
      </c>
      <c r="M12" s="2" t="s">
        <v>946</v>
      </c>
      <c r="N12" s="29"/>
      <c r="O12" s="29"/>
      <c r="S12" s="30"/>
      <c r="T12" s="30"/>
    </row>
    <row r="13">
      <c r="A13" s="2" t="s">
        <v>1089</v>
      </c>
      <c r="B13" s="2" t="s">
        <v>17</v>
      </c>
      <c r="C13" s="4">
        <v>2025.0</v>
      </c>
      <c r="D13" s="4">
        <v>1.0</v>
      </c>
      <c r="E13" s="3">
        <v>46010.0</v>
      </c>
      <c r="F13" s="4">
        <v>1.0</v>
      </c>
      <c r="G13" s="2" t="s">
        <v>613</v>
      </c>
      <c r="H13" s="5" t="s">
        <v>1090</v>
      </c>
      <c r="J13" s="5">
        <v>240000.0</v>
      </c>
      <c r="K13" s="4" t="s">
        <v>945</v>
      </c>
      <c r="L13" s="3">
        <v>46183.42285879629</v>
      </c>
      <c r="M13" s="2" t="s">
        <v>946</v>
      </c>
      <c r="N13" s="29"/>
      <c r="O13" s="29"/>
      <c r="S13" s="30"/>
      <c r="T13" s="30"/>
    </row>
    <row r="14">
      <c r="A14" s="2" t="s">
        <v>1091</v>
      </c>
      <c r="B14" s="2" t="s">
        <v>17</v>
      </c>
      <c r="C14" s="4">
        <v>2025.0</v>
      </c>
      <c r="D14" s="4">
        <v>1.0</v>
      </c>
      <c r="E14" s="3">
        <v>46044.0</v>
      </c>
      <c r="F14" s="4">
        <v>2.0</v>
      </c>
      <c r="G14" s="2" t="s">
        <v>602</v>
      </c>
      <c r="H14" s="5" t="s">
        <v>169</v>
      </c>
      <c r="I14" s="2" t="s">
        <v>1092</v>
      </c>
      <c r="J14" s="5">
        <v>1494000.0</v>
      </c>
      <c r="K14" s="4" t="s">
        <v>945</v>
      </c>
      <c r="L14" s="3">
        <v>46183.42285879629</v>
      </c>
      <c r="M14" s="2" t="s">
        <v>946</v>
      </c>
      <c r="N14" s="29"/>
      <c r="O14" s="29"/>
      <c r="S14" s="30"/>
      <c r="T14" s="30"/>
    </row>
    <row r="15">
      <c r="A15" s="2" t="s">
        <v>1093</v>
      </c>
      <c r="B15" s="2" t="s">
        <v>17</v>
      </c>
      <c r="C15" s="4">
        <v>2025.0</v>
      </c>
      <c r="D15" s="4">
        <v>1.0</v>
      </c>
      <c r="E15" s="3">
        <v>46044.0</v>
      </c>
      <c r="F15" s="4">
        <v>2.0</v>
      </c>
      <c r="G15" s="2" t="s">
        <v>602</v>
      </c>
      <c r="H15" s="5" t="s">
        <v>176</v>
      </c>
      <c r="I15" s="2" t="s">
        <v>1094</v>
      </c>
      <c r="J15" s="5">
        <v>2880000.0</v>
      </c>
      <c r="K15" s="4" t="s">
        <v>945</v>
      </c>
      <c r="L15" s="3">
        <v>46183.42285879629</v>
      </c>
      <c r="M15" s="2" t="s">
        <v>946</v>
      </c>
      <c r="N15" s="29"/>
      <c r="O15" s="29"/>
      <c r="S15" s="30"/>
      <c r="T15" s="30"/>
    </row>
    <row r="16">
      <c r="A16" s="2" t="s">
        <v>1095</v>
      </c>
      <c r="B16" s="2" t="s">
        <v>17</v>
      </c>
      <c r="C16" s="4">
        <v>2025.0</v>
      </c>
      <c r="D16" s="4">
        <v>1.0</v>
      </c>
      <c r="E16" s="3">
        <v>46044.0</v>
      </c>
      <c r="F16" s="4">
        <v>2.0</v>
      </c>
      <c r="G16" s="2" t="s">
        <v>602</v>
      </c>
      <c r="H16" s="5" t="s">
        <v>183</v>
      </c>
      <c r="J16" s="5">
        <v>400000.0</v>
      </c>
      <c r="K16" s="4" t="s">
        <v>945</v>
      </c>
      <c r="L16" s="3">
        <v>46183.42285879629</v>
      </c>
      <c r="M16" s="2" t="s">
        <v>946</v>
      </c>
      <c r="N16" s="29"/>
      <c r="O16" s="29"/>
      <c r="S16" s="30"/>
      <c r="T16" s="30"/>
    </row>
    <row r="17">
      <c r="A17" s="2" t="s">
        <v>1096</v>
      </c>
      <c r="B17" s="2" t="s">
        <v>17</v>
      </c>
      <c r="C17" s="4">
        <v>2025.0</v>
      </c>
      <c r="D17" s="4">
        <v>1.0</v>
      </c>
      <c r="E17" s="3">
        <v>46044.0</v>
      </c>
      <c r="F17" s="4">
        <v>2.0</v>
      </c>
      <c r="G17" s="2" t="s">
        <v>602</v>
      </c>
      <c r="H17" s="5" t="s">
        <v>188</v>
      </c>
      <c r="J17" s="5">
        <v>150000.0</v>
      </c>
      <c r="K17" s="4" t="s">
        <v>945</v>
      </c>
      <c r="L17" s="3">
        <v>46183.42285879629</v>
      </c>
      <c r="M17" s="2" t="s">
        <v>946</v>
      </c>
      <c r="N17" s="29"/>
      <c r="O17" s="29"/>
      <c r="S17" s="30"/>
      <c r="T17" s="30"/>
    </row>
    <row r="18">
      <c r="A18" s="2" t="s">
        <v>1097</v>
      </c>
      <c r="B18" s="2" t="s">
        <v>17</v>
      </c>
      <c r="C18" s="4">
        <v>2025.0</v>
      </c>
      <c r="D18" s="4">
        <v>1.0</v>
      </c>
      <c r="E18" s="3">
        <v>46044.0</v>
      </c>
      <c r="F18" s="4">
        <v>2.0</v>
      </c>
      <c r="G18" s="2" t="s">
        <v>613</v>
      </c>
      <c r="H18" s="5" t="s">
        <v>233</v>
      </c>
      <c r="J18" s="5">
        <v>3500000.0</v>
      </c>
      <c r="K18" s="4" t="s">
        <v>945</v>
      </c>
      <c r="L18" s="3">
        <v>46183.42285879629</v>
      </c>
      <c r="M18" s="2" t="s">
        <v>946</v>
      </c>
      <c r="N18" s="29"/>
      <c r="O18" s="29"/>
      <c r="S18" s="30"/>
      <c r="T18" s="30"/>
    </row>
    <row r="19">
      <c r="A19" s="2" t="s">
        <v>1098</v>
      </c>
      <c r="B19" s="2" t="s">
        <v>17</v>
      </c>
      <c r="C19" s="4">
        <v>2025.0</v>
      </c>
      <c r="D19" s="4">
        <v>1.0</v>
      </c>
      <c r="E19" s="3">
        <v>46044.0</v>
      </c>
      <c r="F19" s="4">
        <v>2.0</v>
      </c>
      <c r="G19" s="2" t="s">
        <v>626</v>
      </c>
      <c r="H19" s="5" t="s">
        <v>243</v>
      </c>
      <c r="J19" s="5">
        <v>2000000.0</v>
      </c>
      <c r="K19" s="4" t="s">
        <v>945</v>
      </c>
      <c r="L19" s="3">
        <v>46183.42285879629</v>
      </c>
      <c r="M19" s="2" t="s">
        <v>946</v>
      </c>
      <c r="N19" s="29"/>
      <c r="O19" s="29"/>
      <c r="S19" s="30"/>
      <c r="T19" s="30"/>
    </row>
    <row r="20">
      <c r="A20" s="2" t="s">
        <v>1099</v>
      </c>
      <c r="B20" s="2" t="s">
        <v>17</v>
      </c>
      <c r="C20" s="4">
        <v>2025.0</v>
      </c>
      <c r="D20" s="4">
        <v>1.0</v>
      </c>
      <c r="E20" s="3">
        <v>46044.0</v>
      </c>
      <c r="F20" s="4">
        <v>2.0</v>
      </c>
      <c r="G20" s="2" t="s">
        <v>613</v>
      </c>
      <c r="H20" s="5" t="s">
        <v>200</v>
      </c>
      <c r="J20" s="5">
        <v>110000.0</v>
      </c>
      <c r="K20" s="4" t="s">
        <v>945</v>
      </c>
      <c r="L20" s="3">
        <v>46183.42285879629</v>
      </c>
      <c r="M20" s="2" t="s">
        <v>946</v>
      </c>
      <c r="N20" s="29"/>
      <c r="O20" s="29"/>
      <c r="S20" s="30"/>
      <c r="T20" s="30"/>
    </row>
    <row r="21">
      <c r="A21" s="2" t="s">
        <v>1100</v>
      </c>
      <c r="B21" s="2" t="s">
        <v>17</v>
      </c>
      <c r="C21" s="4">
        <v>2025.0</v>
      </c>
      <c r="D21" s="4">
        <v>1.0</v>
      </c>
      <c r="E21" s="3">
        <v>46044.0</v>
      </c>
      <c r="F21" s="4">
        <v>2.0</v>
      </c>
      <c r="G21" s="2" t="s">
        <v>626</v>
      </c>
      <c r="H21" s="5" t="s">
        <v>248</v>
      </c>
      <c r="J21" s="5">
        <v>4029000.0</v>
      </c>
      <c r="K21" s="4" t="s">
        <v>945</v>
      </c>
      <c r="L21" s="3">
        <v>46183.42285879629</v>
      </c>
      <c r="M21" s="2" t="s">
        <v>946</v>
      </c>
      <c r="N21" s="29"/>
      <c r="O21" s="29"/>
      <c r="S21" s="30"/>
      <c r="T21" s="30"/>
    </row>
    <row r="22">
      <c r="A22" s="2" t="s">
        <v>1101</v>
      </c>
      <c r="B22" s="2" t="s">
        <v>17</v>
      </c>
      <c r="C22" s="4">
        <v>2025.0</v>
      </c>
      <c r="D22" s="4">
        <v>1.0</v>
      </c>
      <c r="E22" s="3">
        <v>46044.0</v>
      </c>
      <c r="F22" s="4">
        <v>2.0</v>
      </c>
      <c r="G22" s="2" t="s">
        <v>626</v>
      </c>
      <c r="H22" s="5" t="s">
        <v>239</v>
      </c>
      <c r="J22" s="5">
        <v>7750000.0</v>
      </c>
      <c r="K22" s="4" t="s">
        <v>945</v>
      </c>
      <c r="L22" s="3">
        <v>46183.42285879629</v>
      </c>
      <c r="M22" s="2" t="s">
        <v>946</v>
      </c>
      <c r="N22" s="29"/>
      <c r="O22" s="29"/>
      <c r="S22" s="30"/>
      <c r="T22" s="30"/>
    </row>
    <row r="23">
      <c r="A23" s="2" t="s">
        <v>1102</v>
      </c>
      <c r="B23" s="2" t="s">
        <v>17</v>
      </c>
      <c r="C23" s="4">
        <v>2025.0</v>
      </c>
      <c r="D23" s="4">
        <v>2.0</v>
      </c>
      <c r="E23" s="3">
        <v>46055.0</v>
      </c>
      <c r="F23" s="4">
        <v>1.0</v>
      </c>
      <c r="G23" s="2" t="s">
        <v>602</v>
      </c>
      <c r="H23" s="5" t="s">
        <v>169</v>
      </c>
      <c r="I23" s="2" t="s">
        <v>1103</v>
      </c>
      <c r="J23" s="5">
        <v>1377000.0</v>
      </c>
      <c r="K23" s="4" t="s">
        <v>945</v>
      </c>
      <c r="L23" s="3">
        <v>46183.42285879629</v>
      </c>
      <c r="M23" s="2" t="s">
        <v>946</v>
      </c>
      <c r="N23" s="29"/>
      <c r="O23" s="29"/>
      <c r="S23" s="30"/>
      <c r="T23" s="30"/>
    </row>
    <row r="24">
      <c r="A24" s="2" t="s">
        <v>1104</v>
      </c>
      <c r="B24" s="2" t="s">
        <v>17</v>
      </c>
      <c r="C24" s="4">
        <v>2025.0</v>
      </c>
      <c r="D24" s="4">
        <v>2.0</v>
      </c>
      <c r="E24" s="3">
        <v>46055.0</v>
      </c>
      <c r="F24" s="4">
        <v>1.0</v>
      </c>
      <c r="G24" s="2" t="s">
        <v>602</v>
      </c>
      <c r="H24" s="5" t="s">
        <v>176</v>
      </c>
      <c r="I24" s="2" t="s">
        <v>1105</v>
      </c>
      <c r="J24" s="5">
        <v>2423090.0</v>
      </c>
      <c r="K24" s="4" t="s">
        <v>945</v>
      </c>
      <c r="L24" s="3">
        <v>46183.42285879629</v>
      </c>
      <c r="M24" s="2" t="s">
        <v>946</v>
      </c>
      <c r="N24" s="29"/>
      <c r="O24" s="29"/>
      <c r="S24" s="30"/>
      <c r="T24" s="30"/>
    </row>
    <row r="25">
      <c r="A25" s="2" t="s">
        <v>1106</v>
      </c>
      <c r="B25" s="2" t="s">
        <v>17</v>
      </c>
      <c r="C25" s="4">
        <v>2025.0</v>
      </c>
      <c r="D25" s="4">
        <v>2.0</v>
      </c>
      <c r="E25" s="3">
        <v>46055.0</v>
      </c>
      <c r="F25" s="4">
        <v>1.0</v>
      </c>
      <c r="G25" s="2" t="s">
        <v>602</v>
      </c>
      <c r="H25" s="5" t="s">
        <v>183</v>
      </c>
      <c r="J25" s="5">
        <v>400000.0</v>
      </c>
      <c r="K25" s="4" t="s">
        <v>945</v>
      </c>
      <c r="L25" s="3">
        <v>46183.42285879629</v>
      </c>
      <c r="M25" s="2" t="s">
        <v>946</v>
      </c>
      <c r="N25" s="29"/>
      <c r="O25" s="29"/>
      <c r="S25" s="30"/>
      <c r="T25" s="30"/>
    </row>
    <row r="26">
      <c r="A26" s="2" t="s">
        <v>1107</v>
      </c>
      <c r="B26" s="2" t="s">
        <v>17</v>
      </c>
      <c r="C26" s="4">
        <v>2025.0</v>
      </c>
      <c r="D26" s="4">
        <v>2.0</v>
      </c>
      <c r="E26" s="3">
        <v>46055.0</v>
      </c>
      <c r="F26" s="4">
        <v>1.0</v>
      </c>
      <c r="G26" s="2" t="s">
        <v>602</v>
      </c>
      <c r="H26" s="5" t="s">
        <v>188</v>
      </c>
      <c r="J26" s="5">
        <v>100000.0</v>
      </c>
      <c r="K26" s="4" t="s">
        <v>945</v>
      </c>
      <c r="L26" s="3">
        <v>46183.42285879629</v>
      </c>
      <c r="M26" s="2" t="s">
        <v>946</v>
      </c>
      <c r="N26" s="29"/>
      <c r="O26" s="29"/>
      <c r="S26" s="30"/>
      <c r="T26" s="30"/>
    </row>
    <row r="27">
      <c r="A27" s="2" t="s">
        <v>1108</v>
      </c>
      <c r="B27" s="2" t="s">
        <v>17</v>
      </c>
      <c r="C27" s="4">
        <v>2025.0</v>
      </c>
      <c r="D27" s="4">
        <v>2.0</v>
      </c>
      <c r="E27" s="3">
        <v>46055.0</v>
      </c>
      <c r="F27" s="4">
        <v>1.0</v>
      </c>
      <c r="G27" s="2" t="s">
        <v>613</v>
      </c>
      <c r="H27" s="5" t="s">
        <v>1109</v>
      </c>
      <c r="J27" s="5">
        <v>1800000.0</v>
      </c>
      <c r="K27" s="4" t="s">
        <v>945</v>
      </c>
      <c r="L27" s="3">
        <v>46183.42285879629</v>
      </c>
      <c r="M27" s="2" t="s">
        <v>946</v>
      </c>
      <c r="N27" s="29"/>
      <c r="O27" s="29"/>
      <c r="S27" s="30"/>
      <c r="T27" s="30"/>
    </row>
    <row r="28">
      <c r="A28" s="2" t="s">
        <v>1110</v>
      </c>
      <c r="B28" s="2" t="s">
        <v>17</v>
      </c>
      <c r="C28" s="4">
        <v>2025.0</v>
      </c>
      <c r="D28" s="4">
        <v>2.0</v>
      </c>
      <c r="E28" s="3">
        <v>46055.0</v>
      </c>
      <c r="F28" s="4">
        <v>1.0</v>
      </c>
      <c r="G28" s="2" t="s">
        <v>613</v>
      </c>
      <c r="H28" s="5" t="s">
        <v>211</v>
      </c>
      <c r="J28" s="5">
        <v>982000.0</v>
      </c>
      <c r="K28" s="4" t="s">
        <v>945</v>
      </c>
      <c r="L28" s="3">
        <v>46183.42285879629</v>
      </c>
      <c r="M28" s="2" t="s">
        <v>946</v>
      </c>
      <c r="N28" s="29"/>
      <c r="O28" s="29"/>
      <c r="S28" s="30"/>
      <c r="T28" s="30"/>
    </row>
    <row r="29">
      <c r="A29" s="2" t="s">
        <v>1111</v>
      </c>
      <c r="B29" s="2" t="s">
        <v>17</v>
      </c>
      <c r="C29" s="4">
        <v>2025.0</v>
      </c>
      <c r="D29" s="4">
        <v>2.0</v>
      </c>
      <c r="E29" s="3">
        <v>46055.0</v>
      </c>
      <c r="F29" s="4">
        <v>1.0</v>
      </c>
      <c r="G29" s="2" t="s">
        <v>793</v>
      </c>
      <c r="H29" s="5" t="s">
        <v>1112</v>
      </c>
      <c r="J29" s="5">
        <v>1700000.0</v>
      </c>
      <c r="K29" s="4" t="s">
        <v>945</v>
      </c>
      <c r="L29" s="3">
        <v>46183.42285879629</v>
      </c>
      <c r="M29" s="2" t="s">
        <v>946</v>
      </c>
      <c r="N29" s="29"/>
      <c r="O29" s="29"/>
      <c r="S29" s="30"/>
      <c r="T29" s="30"/>
    </row>
    <row r="30">
      <c r="A30" s="2" t="s">
        <v>1113</v>
      </c>
      <c r="B30" s="2" t="s">
        <v>17</v>
      </c>
      <c r="C30" s="4">
        <v>2025.0</v>
      </c>
      <c r="D30" s="4">
        <v>2.0</v>
      </c>
      <c r="E30" s="3">
        <v>46055.0</v>
      </c>
      <c r="F30" s="4">
        <v>1.0</v>
      </c>
      <c r="G30" s="2" t="s">
        <v>613</v>
      </c>
      <c r="H30" s="5" t="s">
        <v>200</v>
      </c>
      <c r="J30" s="5">
        <v>110000.0</v>
      </c>
      <c r="K30" s="4" t="s">
        <v>945</v>
      </c>
      <c r="L30" s="3">
        <v>46183.42285879629</v>
      </c>
      <c r="M30" s="2" t="s">
        <v>946</v>
      </c>
      <c r="N30" s="29"/>
      <c r="O30" s="29"/>
      <c r="S30" s="30"/>
      <c r="T30" s="30"/>
    </row>
    <row r="31">
      <c r="A31" s="2" t="s">
        <v>1114</v>
      </c>
      <c r="B31" s="2" t="s">
        <v>17</v>
      </c>
      <c r="C31" s="4">
        <v>2025.0</v>
      </c>
      <c r="D31" s="4">
        <v>2.0</v>
      </c>
      <c r="E31" s="3">
        <v>46055.0</v>
      </c>
      <c r="F31" s="4">
        <v>1.0</v>
      </c>
      <c r="G31" s="2" t="s">
        <v>626</v>
      </c>
      <c r="H31" s="5" t="s">
        <v>248</v>
      </c>
      <c r="J31" s="5">
        <v>880000.0</v>
      </c>
      <c r="K31" s="4" t="s">
        <v>945</v>
      </c>
      <c r="L31" s="3">
        <v>46183.42285879629</v>
      </c>
      <c r="M31" s="2" t="s">
        <v>946</v>
      </c>
      <c r="N31" s="29"/>
      <c r="O31" s="29"/>
      <c r="S31" s="30"/>
      <c r="T31" s="30"/>
    </row>
    <row r="32">
      <c r="A32" s="2" t="s">
        <v>1115</v>
      </c>
      <c r="B32" s="2" t="s">
        <v>17</v>
      </c>
      <c r="C32" s="4">
        <v>2025.0</v>
      </c>
      <c r="D32" s="4">
        <v>2.0</v>
      </c>
      <c r="E32" s="3">
        <v>46055.0</v>
      </c>
      <c r="F32" s="4">
        <v>1.0</v>
      </c>
      <c r="G32" s="2" t="s">
        <v>607</v>
      </c>
      <c r="H32" s="5" t="s">
        <v>270</v>
      </c>
      <c r="I32" s="2" t="s">
        <v>1116</v>
      </c>
      <c r="J32" s="5">
        <v>6500000.0</v>
      </c>
      <c r="K32" s="4" t="s">
        <v>945</v>
      </c>
      <c r="L32" s="3">
        <v>46183.42285879629</v>
      </c>
      <c r="M32" s="2" t="s">
        <v>946</v>
      </c>
      <c r="N32" s="29"/>
      <c r="O32" s="29"/>
      <c r="S32" s="30"/>
      <c r="T32" s="30"/>
    </row>
    <row r="33">
      <c r="A33" s="2" t="s">
        <v>1117</v>
      </c>
      <c r="B33" s="2" t="s">
        <v>17</v>
      </c>
      <c r="C33" s="4">
        <v>2025.0</v>
      </c>
      <c r="D33" s="4">
        <v>2.0</v>
      </c>
      <c r="E33" s="3">
        <v>46055.0</v>
      </c>
      <c r="F33" s="4">
        <v>1.0</v>
      </c>
      <c r="G33" s="2" t="s">
        <v>626</v>
      </c>
      <c r="H33" s="5" t="s">
        <v>243</v>
      </c>
      <c r="J33" s="5">
        <v>1000000.0</v>
      </c>
      <c r="K33" s="4" t="s">
        <v>945</v>
      </c>
      <c r="L33" s="3">
        <v>46183.42285879629</v>
      </c>
      <c r="M33" s="2" t="s">
        <v>946</v>
      </c>
      <c r="N33" s="29"/>
      <c r="O33" s="29"/>
      <c r="S33" s="30"/>
      <c r="T33" s="30"/>
    </row>
    <row r="34">
      <c r="A34" s="2" t="s">
        <v>1118</v>
      </c>
      <c r="B34" s="2" t="s">
        <v>17</v>
      </c>
      <c r="C34" s="4">
        <v>2025.0</v>
      </c>
      <c r="D34" s="4">
        <v>2.0</v>
      </c>
      <c r="E34" s="3">
        <v>46055.0</v>
      </c>
      <c r="F34" s="4">
        <v>1.0</v>
      </c>
      <c r="G34" s="2" t="s">
        <v>613</v>
      </c>
      <c r="H34" s="5" t="s">
        <v>1119</v>
      </c>
      <c r="J34" s="5">
        <v>5600000.0</v>
      </c>
      <c r="K34" s="4" t="s">
        <v>945</v>
      </c>
      <c r="L34" s="3">
        <v>46183.42285879629</v>
      </c>
      <c r="M34" s="2" t="s">
        <v>946</v>
      </c>
      <c r="N34" s="29"/>
      <c r="O34" s="29"/>
      <c r="S34" s="30"/>
      <c r="T34" s="30"/>
    </row>
    <row r="35">
      <c r="A35" s="2" t="s">
        <v>1120</v>
      </c>
      <c r="B35" s="2" t="s">
        <v>17</v>
      </c>
      <c r="C35" s="4">
        <v>2025.0</v>
      </c>
      <c r="D35" s="4">
        <v>2.0</v>
      </c>
      <c r="E35" s="3">
        <v>46055.0</v>
      </c>
      <c r="F35" s="4">
        <v>1.0</v>
      </c>
      <c r="G35" s="2" t="s">
        <v>626</v>
      </c>
      <c r="H35" s="5" t="s">
        <v>239</v>
      </c>
      <c r="J35" s="5">
        <v>325000.0</v>
      </c>
      <c r="K35" s="4" t="s">
        <v>945</v>
      </c>
      <c r="L35" s="3">
        <v>46183.42285879629</v>
      </c>
      <c r="M35" s="2" t="s">
        <v>946</v>
      </c>
      <c r="N35" s="29"/>
      <c r="O35" s="29"/>
      <c r="S35" s="30"/>
      <c r="T35" s="30"/>
    </row>
    <row r="36">
      <c r="A36" s="2" t="s">
        <v>1121</v>
      </c>
      <c r="B36" s="2" t="s">
        <v>17</v>
      </c>
      <c r="C36" s="4">
        <v>2025.0</v>
      </c>
      <c r="D36" s="4">
        <v>2.0</v>
      </c>
      <c r="E36" s="3">
        <v>46069.0</v>
      </c>
      <c r="F36" s="4">
        <v>2.0</v>
      </c>
      <c r="G36" s="2" t="s">
        <v>602</v>
      </c>
      <c r="H36" s="5" t="s">
        <v>169</v>
      </c>
      <c r="I36" s="2" t="s">
        <v>1122</v>
      </c>
      <c r="J36" s="5">
        <v>1126000.0</v>
      </c>
      <c r="K36" s="4" t="s">
        <v>945</v>
      </c>
      <c r="L36" s="3">
        <v>46183.42285879629</v>
      </c>
      <c r="M36" s="2" t="s">
        <v>946</v>
      </c>
      <c r="N36" s="29"/>
      <c r="O36" s="29"/>
      <c r="S36" s="30"/>
      <c r="T36" s="30"/>
    </row>
    <row r="37">
      <c r="A37" s="2" t="s">
        <v>1123</v>
      </c>
      <c r="B37" s="2" t="s">
        <v>17</v>
      </c>
      <c r="C37" s="4">
        <v>2025.0</v>
      </c>
      <c r="D37" s="4">
        <v>2.0</v>
      </c>
      <c r="E37" s="3">
        <v>46069.0</v>
      </c>
      <c r="F37" s="4">
        <v>2.0</v>
      </c>
      <c r="G37" s="2" t="s">
        <v>602</v>
      </c>
      <c r="H37" s="5" t="s">
        <v>176</v>
      </c>
      <c r="I37" s="2" t="s">
        <v>1124</v>
      </c>
      <c r="J37" s="5">
        <v>2681000.0</v>
      </c>
      <c r="K37" s="4" t="s">
        <v>945</v>
      </c>
      <c r="L37" s="3">
        <v>46183.42285879629</v>
      </c>
      <c r="M37" s="2" t="s">
        <v>946</v>
      </c>
      <c r="N37" s="29"/>
      <c r="O37" s="29"/>
      <c r="S37" s="30"/>
      <c r="T37" s="30"/>
    </row>
    <row r="38">
      <c r="A38" s="2" t="s">
        <v>1125</v>
      </c>
      <c r="B38" s="2" t="s">
        <v>17</v>
      </c>
      <c r="C38" s="4">
        <v>2025.0</v>
      </c>
      <c r="D38" s="4">
        <v>2.0</v>
      </c>
      <c r="E38" s="3">
        <v>46069.0</v>
      </c>
      <c r="F38" s="4">
        <v>2.0</v>
      </c>
      <c r="G38" s="2" t="s">
        <v>602</v>
      </c>
      <c r="H38" s="5" t="s">
        <v>183</v>
      </c>
      <c r="J38" s="5">
        <v>400000.0</v>
      </c>
      <c r="K38" s="4" t="s">
        <v>945</v>
      </c>
      <c r="L38" s="3">
        <v>46183.42285879629</v>
      </c>
      <c r="M38" s="2" t="s">
        <v>946</v>
      </c>
      <c r="N38" s="29"/>
      <c r="O38" s="29"/>
      <c r="S38" s="30"/>
      <c r="T38" s="30"/>
    </row>
    <row r="39">
      <c r="A39" s="2" t="s">
        <v>1126</v>
      </c>
      <c r="B39" s="2" t="s">
        <v>17</v>
      </c>
      <c r="C39" s="4">
        <v>2025.0</v>
      </c>
      <c r="D39" s="4">
        <v>2.0</v>
      </c>
      <c r="E39" s="3">
        <v>46069.0</v>
      </c>
      <c r="F39" s="4">
        <v>2.0</v>
      </c>
      <c r="G39" s="2" t="s">
        <v>602</v>
      </c>
      <c r="H39" s="5" t="s">
        <v>188</v>
      </c>
      <c r="J39" s="5">
        <v>150000.0</v>
      </c>
      <c r="K39" s="4" t="s">
        <v>945</v>
      </c>
      <c r="L39" s="3">
        <v>46183.42285879629</v>
      </c>
      <c r="M39" s="2" t="s">
        <v>946</v>
      </c>
      <c r="N39" s="29"/>
      <c r="O39" s="29"/>
      <c r="S39" s="30"/>
      <c r="T39" s="30"/>
    </row>
    <row r="40">
      <c r="A40" s="2" t="s">
        <v>1127</v>
      </c>
      <c r="B40" s="2" t="s">
        <v>17</v>
      </c>
      <c r="C40" s="4">
        <v>2025.0</v>
      </c>
      <c r="D40" s="4">
        <v>2.0</v>
      </c>
      <c r="E40" s="3">
        <v>46069.0</v>
      </c>
      <c r="F40" s="4">
        <v>2.0</v>
      </c>
      <c r="G40" s="2" t="s">
        <v>613</v>
      </c>
      <c r="H40" s="5" t="s">
        <v>233</v>
      </c>
      <c r="J40" s="5">
        <v>3500000.0</v>
      </c>
      <c r="K40" s="4" t="s">
        <v>945</v>
      </c>
      <c r="L40" s="3">
        <v>46183.42285879629</v>
      </c>
      <c r="M40" s="2" t="s">
        <v>946</v>
      </c>
      <c r="N40" s="29"/>
      <c r="O40" s="29"/>
      <c r="S40" s="30"/>
      <c r="T40" s="30"/>
    </row>
    <row r="41">
      <c r="A41" s="2" t="s">
        <v>1128</v>
      </c>
      <c r="B41" s="2" t="s">
        <v>17</v>
      </c>
      <c r="C41" s="4">
        <v>2025.0</v>
      </c>
      <c r="D41" s="4">
        <v>2.0</v>
      </c>
      <c r="E41" s="3">
        <v>46069.0</v>
      </c>
      <c r="F41" s="4">
        <v>2.0</v>
      </c>
      <c r="G41" s="2" t="s">
        <v>613</v>
      </c>
      <c r="H41" s="5" t="s">
        <v>1129</v>
      </c>
      <c r="J41" s="5">
        <v>150000.0</v>
      </c>
      <c r="K41" s="4" t="s">
        <v>945</v>
      </c>
      <c r="L41" s="3">
        <v>46183.42285879629</v>
      </c>
      <c r="M41" s="2" t="s">
        <v>946</v>
      </c>
      <c r="N41" s="29"/>
      <c r="O41" s="29"/>
      <c r="S41" s="30"/>
      <c r="T41" s="30"/>
    </row>
    <row r="42">
      <c r="A42" s="2" t="s">
        <v>1130</v>
      </c>
      <c r="B42" s="2" t="s">
        <v>17</v>
      </c>
      <c r="C42" s="4">
        <v>2025.0</v>
      </c>
      <c r="D42" s="4">
        <v>2.0</v>
      </c>
      <c r="E42" s="3">
        <v>46069.0</v>
      </c>
      <c r="F42" s="4">
        <v>2.0</v>
      </c>
      <c r="G42" s="2" t="s">
        <v>613</v>
      </c>
      <c r="H42" s="5" t="s">
        <v>1131</v>
      </c>
      <c r="J42" s="5">
        <v>200000.0</v>
      </c>
      <c r="K42" s="4" t="s">
        <v>945</v>
      </c>
      <c r="L42" s="3">
        <v>46183.42285879629</v>
      </c>
      <c r="M42" s="2" t="s">
        <v>946</v>
      </c>
      <c r="N42" s="29"/>
      <c r="O42" s="29"/>
      <c r="S42" s="30"/>
      <c r="T42" s="30"/>
    </row>
    <row r="43">
      <c r="A43" s="2" t="s">
        <v>1132</v>
      </c>
      <c r="B43" s="2" t="s">
        <v>17</v>
      </c>
      <c r="C43" s="4">
        <v>2025.0</v>
      </c>
      <c r="D43" s="4">
        <v>2.0</v>
      </c>
      <c r="E43" s="3">
        <v>46069.0</v>
      </c>
      <c r="F43" s="4">
        <v>2.0</v>
      </c>
      <c r="G43" s="2" t="s">
        <v>613</v>
      </c>
      <c r="H43" s="5" t="s">
        <v>246</v>
      </c>
      <c r="J43" s="5">
        <v>100000.0</v>
      </c>
      <c r="K43" s="4" t="s">
        <v>945</v>
      </c>
      <c r="L43" s="3">
        <v>46183.42285879629</v>
      </c>
      <c r="M43" s="2" t="s">
        <v>946</v>
      </c>
      <c r="N43" s="29"/>
      <c r="O43" s="29"/>
      <c r="S43" s="30"/>
      <c r="T43" s="30"/>
    </row>
    <row r="44">
      <c r="A44" s="2" t="s">
        <v>1133</v>
      </c>
      <c r="B44" s="2" t="s">
        <v>17</v>
      </c>
      <c r="C44" s="4">
        <v>2025.0</v>
      </c>
      <c r="D44" s="4">
        <v>2.0</v>
      </c>
      <c r="E44" s="3">
        <v>46069.0</v>
      </c>
      <c r="F44" s="4">
        <v>2.0</v>
      </c>
      <c r="G44" s="2" t="s">
        <v>626</v>
      </c>
      <c r="H44" s="5" t="s">
        <v>248</v>
      </c>
      <c r="J44" s="5">
        <v>4780000.0</v>
      </c>
      <c r="K44" s="4" t="s">
        <v>945</v>
      </c>
      <c r="L44" s="3">
        <v>46183.42285879629</v>
      </c>
      <c r="M44" s="2" t="s">
        <v>946</v>
      </c>
      <c r="N44" s="29"/>
      <c r="O44" s="29"/>
      <c r="S44" s="30"/>
      <c r="T44" s="30"/>
    </row>
    <row r="45">
      <c r="A45" s="2" t="s">
        <v>1134</v>
      </c>
      <c r="B45" s="2" t="s">
        <v>17</v>
      </c>
      <c r="C45" s="4">
        <v>2025.0</v>
      </c>
      <c r="D45" s="4">
        <v>2.0</v>
      </c>
      <c r="E45" s="3">
        <v>46069.0</v>
      </c>
      <c r="F45" s="4">
        <v>2.0</v>
      </c>
      <c r="G45" s="2" t="s">
        <v>626</v>
      </c>
      <c r="H45" s="5" t="s">
        <v>239</v>
      </c>
      <c r="J45" s="5">
        <v>650000.0</v>
      </c>
      <c r="K45" s="4" t="s">
        <v>945</v>
      </c>
      <c r="L45" s="3">
        <v>46183.42285879629</v>
      </c>
      <c r="M45" s="2" t="s">
        <v>946</v>
      </c>
      <c r="N45" s="29"/>
      <c r="O45" s="29"/>
      <c r="S45" s="30"/>
      <c r="T45" s="30"/>
    </row>
    <row r="46">
      <c r="A46" s="2" t="s">
        <v>1135</v>
      </c>
      <c r="B46" s="2" t="s">
        <v>17</v>
      </c>
      <c r="C46" s="4">
        <v>2025.0</v>
      </c>
      <c r="D46" s="4">
        <v>2.0</v>
      </c>
      <c r="E46" s="3">
        <v>46069.0</v>
      </c>
      <c r="F46" s="4">
        <v>2.0</v>
      </c>
      <c r="G46" s="2" t="s">
        <v>237</v>
      </c>
      <c r="H46" s="5" t="s">
        <v>237</v>
      </c>
      <c r="I46" s="2" t="s">
        <v>1136</v>
      </c>
      <c r="J46" s="5">
        <v>8000000.0</v>
      </c>
      <c r="K46" s="4" t="s">
        <v>945</v>
      </c>
      <c r="L46" s="3">
        <v>46183.42285879629</v>
      </c>
      <c r="M46" s="2" t="s">
        <v>946</v>
      </c>
      <c r="N46" s="29"/>
      <c r="O46" s="29"/>
      <c r="S46" s="30"/>
      <c r="T46" s="30"/>
    </row>
    <row r="47">
      <c r="A47" s="2" t="s">
        <v>1137</v>
      </c>
      <c r="B47" s="2" t="s">
        <v>17</v>
      </c>
      <c r="C47" s="4">
        <v>2025.0</v>
      </c>
      <c r="D47" s="4">
        <v>2.0</v>
      </c>
      <c r="E47" s="3">
        <v>46069.0</v>
      </c>
      <c r="F47" s="4">
        <v>2.0</v>
      </c>
      <c r="G47" s="2" t="s">
        <v>613</v>
      </c>
      <c r="H47" s="5" t="s">
        <v>1138</v>
      </c>
      <c r="J47" s="5">
        <v>80000.0</v>
      </c>
      <c r="K47" s="4" t="s">
        <v>945</v>
      </c>
      <c r="L47" s="3">
        <v>46183.42285879629</v>
      </c>
      <c r="M47" s="2" t="s">
        <v>946</v>
      </c>
      <c r="N47" s="29"/>
      <c r="O47" s="29"/>
      <c r="S47" s="30"/>
      <c r="T47" s="30"/>
    </row>
    <row r="48">
      <c r="A48" s="2" t="s">
        <v>1139</v>
      </c>
      <c r="B48" s="2" t="s">
        <v>17</v>
      </c>
      <c r="C48" s="4">
        <v>2025.0</v>
      </c>
      <c r="D48" s="4">
        <v>3.0</v>
      </c>
      <c r="E48" s="3">
        <v>46085.0</v>
      </c>
      <c r="F48" s="4">
        <v>1.0</v>
      </c>
      <c r="G48" s="2" t="s">
        <v>602</v>
      </c>
      <c r="H48" s="5" t="s">
        <v>169</v>
      </c>
      <c r="I48" s="2" t="s">
        <v>1140</v>
      </c>
      <c r="J48" s="5">
        <v>1653000.0</v>
      </c>
      <c r="K48" s="4" t="s">
        <v>945</v>
      </c>
      <c r="L48" s="3">
        <v>46183.42285879629</v>
      </c>
      <c r="M48" s="2" t="s">
        <v>946</v>
      </c>
      <c r="N48" s="29"/>
      <c r="O48" s="29"/>
      <c r="S48" s="30"/>
      <c r="T48" s="30"/>
    </row>
    <row r="49">
      <c r="A49" s="2" t="s">
        <v>1141</v>
      </c>
      <c r="B49" s="2" t="s">
        <v>17</v>
      </c>
      <c r="C49" s="4">
        <v>2025.0</v>
      </c>
      <c r="D49" s="4">
        <v>3.0</v>
      </c>
      <c r="E49" s="3">
        <v>46085.0</v>
      </c>
      <c r="F49" s="4">
        <v>1.0</v>
      </c>
      <c r="G49" s="2" t="s">
        <v>602</v>
      </c>
      <c r="H49" s="5" t="s">
        <v>176</v>
      </c>
      <c r="I49" s="2" t="s">
        <v>1142</v>
      </c>
      <c r="J49" s="5">
        <v>2953000.0</v>
      </c>
      <c r="K49" s="4" t="s">
        <v>945</v>
      </c>
      <c r="L49" s="3">
        <v>46183.42285879629</v>
      </c>
      <c r="M49" s="2" t="s">
        <v>946</v>
      </c>
      <c r="N49" s="29"/>
      <c r="O49" s="29"/>
      <c r="S49" s="30"/>
      <c r="T49" s="30"/>
    </row>
    <row r="50">
      <c r="A50" s="2" t="s">
        <v>1143</v>
      </c>
      <c r="B50" s="2" t="s">
        <v>17</v>
      </c>
      <c r="C50" s="4">
        <v>2025.0</v>
      </c>
      <c r="D50" s="4">
        <v>3.0</v>
      </c>
      <c r="E50" s="3">
        <v>46085.0</v>
      </c>
      <c r="F50" s="4">
        <v>1.0</v>
      </c>
      <c r="G50" s="2" t="s">
        <v>602</v>
      </c>
      <c r="H50" s="5" t="s">
        <v>183</v>
      </c>
      <c r="J50" s="5">
        <v>550000.0</v>
      </c>
      <c r="K50" s="4" t="s">
        <v>945</v>
      </c>
      <c r="L50" s="3">
        <v>46183.42285879629</v>
      </c>
      <c r="M50" s="2" t="s">
        <v>946</v>
      </c>
      <c r="N50" s="29"/>
      <c r="O50" s="29"/>
      <c r="S50" s="30"/>
      <c r="T50" s="30"/>
    </row>
    <row r="51">
      <c r="A51" s="2" t="s">
        <v>1144</v>
      </c>
      <c r="B51" s="2" t="s">
        <v>17</v>
      </c>
      <c r="C51" s="4">
        <v>2025.0</v>
      </c>
      <c r="D51" s="4">
        <v>3.0</v>
      </c>
      <c r="E51" s="3">
        <v>46085.0</v>
      </c>
      <c r="F51" s="4">
        <v>1.0</v>
      </c>
      <c r="G51" s="2" t="s">
        <v>602</v>
      </c>
      <c r="H51" s="5" t="s">
        <v>188</v>
      </c>
      <c r="J51" s="5">
        <v>150000.0</v>
      </c>
      <c r="K51" s="4" t="s">
        <v>945</v>
      </c>
      <c r="L51" s="3">
        <v>46183.42285879629</v>
      </c>
      <c r="M51" s="2" t="s">
        <v>946</v>
      </c>
      <c r="N51" s="29"/>
      <c r="O51" s="29"/>
      <c r="S51" s="30"/>
      <c r="T51" s="30"/>
    </row>
    <row r="52">
      <c r="A52" s="2" t="s">
        <v>1145</v>
      </c>
      <c r="B52" s="2" t="s">
        <v>17</v>
      </c>
      <c r="C52" s="4">
        <v>2025.0</v>
      </c>
      <c r="D52" s="4">
        <v>3.0</v>
      </c>
      <c r="E52" s="3">
        <v>46085.0</v>
      </c>
      <c r="F52" s="4">
        <v>1.0</v>
      </c>
      <c r="G52" s="2" t="s">
        <v>613</v>
      </c>
      <c r="H52" s="5" t="s">
        <v>200</v>
      </c>
      <c r="J52" s="5">
        <v>260000.0</v>
      </c>
      <c r="K52" s="4" t="s">
        <v>945</v>
      </c>
      <c r="L52" s="3">
        <v>46183.42285879629</v>
      </c>
      <c r="M52" s="2" t="s">
        <v>946</v>
      </c>
      <c r="N52" s="29"/>
      <c r="O52" s="29"/>
      <c r="S52" s="30"/>
      <c r="T52" s="30"/>
    </row>
    <row r="53">
      <c r="A53" s="2" t="s">
        <v>1146</v>
      </c>
      <c r="B53" s="2" t="s">
        <v>17</v>
      </c>
      <c r="C53" s="4">
        <v>2025.0</v>
      </c>
      <c r="D53" s="4">
        <v>3.0</v>
      </c>
      <c r="E53" s="3">
        <v>46085.0</v>
      </c>
      <c r="F53" s="4">
        <v>1.0</v>
      </c>
      <c r="G53" s="2" t="s">
        <v>613</v>
      </c>
      <c r="H53" s="5" t="s">
        <v>1147</v>
      </c>
      <c r="J53" s="5">
        <v>1140000.0</v>
      </c>
      <c r="K53" s="4" t="s">
        <v>945</v>
      </c>
      <c r="L53" s="3">
        <v>46183.42285879629</v>
      </c>
      <c r="M53" s="2" t="s">
        <v>946</v>
      </c>
      <c r="N53" s="29"/>
      <c r="O53" s="29"/>
      <c r="S53" s="30"/>
      <c r="T53" s="30"/>
    </row>
    <row r="54">
      <c r="A54" s="2" t="s">
        <v>1148</v>
      </c>
      <c r="B54" s="2" t="s">
        <v>17</v>
      </c>
      <c r="C54" s="4">
        <v>2025.0</v>
      </c>
      <c r="D54" s="4">
        <v>3.0</v>
      </c>
      <c r="E54" s="3">
        <v>46085.0</v>
      </c>
      <c r="F54" s="4">
        <v>1.0</v>
      </c>
      <c r="G54" s="2" t="s">
        <v>237</v>
      </c>
      <c r="H54" s="5" t="s">
        <v>237</v>
      </c>
      <c r="J54" s="5">
        <v>2500000.0</v>
      </c>
      <c r="K54" s="4" t="s">
        <v>945</v>
      </c>
      <c r="L54" s="3">
        <v>46183.42285879629</v>
      </c>
      <c r="M54" s="2" t="s">
        <v>946</v>
      </c>
      <c r="N54" s="29"/>
      <c r="O54" s="29"/>
      <c r="S54" s="30"/>
      <c r="T54" s="30"/>
    </row>
    <row r="55">
      <c r="A55" s="2" t="s">
        <v>1149</v>
      </c>
      <c r="B55" s="2" t="s">
        <v>17</v>
      </c>
      <c r="C55" s="4">
        <v>2025.0</v>
      </c>
      <c r="D55" s="4">
        <v>3.0</v>
      </c>
      <c r="E55" s="3">
        <v>46085.0</v>
      </c>
      <c r="F55" s="4">
        <v>1.0</v>
      </c>
      <c r="G55" s="2" t="s">
        <v>607</v>
      </c>
      <c r="H55" s="5" t="s">
        <v>302</v>
      </c>
      <c r="I55" s="2" t="s">
        <v>1150</v>
      </c>
      <c r="J55" s="5">
        <v>1.89E7</v>
      </c>
      <c r="K55" s="4" t="s">
        <v>945</v>
      </c>
      <c r="L55" s="3">
        <v>46183.42285879629</v>
      </c>
      <c r="M55" s="2" t="s">
        <v>946</v>
      </c>
      <c r="N55" s="29"/>
      <c r="O55" s="29"/>
      <c r="S55" s="30"/>
      <c r="T55" s="30"/>
    </row>
    <row r="56">
      <c r="A56" s="2" t="s">
        <v>1151</v>
      </c>
      <c r="B56" s="2" t="s">
        <v>17</v>
      </c>
      <c r="C56" s="4">
        <v>2025.0</v>
      </c>
      <c r="D56" s="4">
        <v>3.0</v>
      </c>
      <c r="E56" s="3">
        <v>46085.0</v>
      </c>
      <c r="F56" s="4">
        <v>1.0</v>
      </c>
      <c r="G56" s="2" t="s">
        <v>607</v>
      </c>
      <c r="H56" s="5" t="s">
        <v>275</v>
      </c>
      <c r="J56" s="5">
        <v>300000.0</v>
      </c>
      <c r="K56" s="4" t="s">
        <v>945</v>
      </c>
      <c r="L56" s="3">
        <v>46183.42285879629</v>
      </c>
      <c r="M56" s="2" t="s">
        <v>946</v>
      </c>
      <c r="N56" s="29"/>
      <c r="O56" s="29"/>
      <c r="S56" s="30"/>
      <c r="T56" s="30"/>
    </row>
    <row r="57">
      <c r="A57" s="2" t="s">
        <v>1152</v>
      </c>
      <c r="B57" s="2" t="s">
        <v>17</v>
      </c>
      <c r="C57" s="4">
        <v>2025.0</v>
      </c>
      <c r="D57" s="4">
        <v>3.0</v>
      </c>
      <c r="E57" s="3">
        <v>46085.0</v>
      </c>
      <c r="F57" s="4">
        <v>1.0</v>
      </c>
      <c r="G57" s="2" t="s">
        <v>626</v>
      </c>
      <c r="H57" s="5" t="s">
        <v>239</v>
      </c>
      <c r="J57" s="5">
        <v>4700000.0</v>
      </c>
      <c r="K57" s="4" t="s">
        <v>945</v>
      </c>
      <c r="L57" s="3">
        <v>46183.42285879629</v>
      </c>
      <c r="M57" s="2" t="s">
        <v>946</v>
      </c>
      <c r="N57" s="29"/>
      <c r="O57" s="29"/>
      <c r="S57" s="30"/>
      <c r="T57" s="30"/>
    </row>
    <row r="58">
      <c r="A58" s="2" t="s">
        <v>1153</v>
      </c>
      <c r="B58" s="2" t="s">
        <v>17</v>
      </c>
      <c r="C58" s="4">
        <v>2025.0</v>
      </c>
      <c r="D58" s="4">
        <v>3.0</v>
      </c>
      <c r="E58" s="3">
        <v>46085.0</v>
      </c>
      <c r="F58" s="4">
        <v>1.0</v>
      </c>
      <c r="G58" s="2" t="s">
        <v>613</v>
      </c>
      <c r="H58" s="5" t="s">
        <v>1154</v>
      </c>
      <c r="J58" s="5">
        <v>3650000.0</v>
      </c>
      <c r="K58" s="4" t="s">
        <v>945</v>
      </c>
      <c r="L58" s="3">
        <v>46183.42285879629</v>
      </c>
      <c r="M58" s="2" t="s">
        <v>946</v>
      </c>
      <c r="N58" s="29"/>
      <c r="O58" s="29"/>
      <c r="S58" s="30"/>
      <c r="T58" s="30"/>
    </row>
    <row r="59">
      <c r="A59" s="2" t="s">
        <v>1155</v>
      </c>
      <c r="B59" s="2" t="s">
        <v>17</v>
      </c>
      <c r="C59" s="4">
        <v>2025.0</v>
      </c>
      <c r="D59" s="4">
        <v>3.0</v>
      </c>
      <c r="E59" s="3">
        <v>46085.0</v>
      </c>
      <c r="F59" s="4">
        <v>1.0</v>
      </c>
      <c r="G59" s="2" t="s">
        <v>1156</v>
      </c>
      <c r="H59" s="5" t="s">
        <v>938</v>
      </c>
      <c r="J59" s="5">
        <v>8100000.0</v>
      </c>
      <c r="K59" s="4" t="s">
        <v>945</v>
      </c>
      <c r="L59" s="3">
        <v>46183.42285879629</v>
      </c>
      <c r="M59" s="2" t="s">
        <v>946</v>
      </c>
      <c r="N59" s="29"/>
      <c r="O59" s="29"/>
      <c r="S59" s="30"/>
      <c r="T59" s="30"/>
    </row>
    <row r="60">
      <c r="A60" s="2" t="s">
        <v>1157</v>
      </c>
      <c r="B60" s="2" t="s">
        <v>17</v>
      </c>
      <c r="C60" s="4">
        <v>2025.0</v>
      </c>
      <c r="D60" s="4">
        <v>3.0</v>
      </c>
      <c r="E60" s="3">
        <v>46085.0</v>
      </c>
      <c r="F60" s="4">
        <v>1.0</v>
      </c>
      <c r="G60" s="2" t="s">
        <v>613</v>
      </c>
      <c r="H60" s="5" t="s">
        <v>211</v>
      </c>
      <c r="J60" s="5">
        <v>780000.0</v>
      </c>
      <c r="K60" s="4" t="s">
        <v>945</v>
      </c>
      <c r="L60" s="3">
        <v>46183.42285879629</v>
      </c>
      <c r="M60" s="2" t="s">
        <v>946</v>
      </c>
      <c r="N60" s="29"/>
      <c r="O60" s="29"/>
      <c r="S60" s="30"/>
      <c r="T60" s="30"/>
    </row>
    <row r="61">
      <c r="A61" s="2" t="s">
        <v>1158</v>
      </c>
      <c r="B61" s="2" t="s">
        <v>17</v>
      </c>
      <c r="C61" s="4">
        <v>2025.0</v>
      </c>
      <c r="D61" s="4">
        <v>3.0</v>
      </c>
      <c r="E61" s="3">
        <v>46085.0</v>
      </c>
      <c r="F61" s="4">
        <v>1.0</v>
      </c>
      <c r="G61" s="2" t="s">
        <v>613</v>
      </c>
      <c r="H61" s="5" t="s">
        <v>1159</v>
      </c>
      <c r="J61" s="5">
        <v>2050000.0</v>
      </c>
      <c r="K61" s="4" t="s">
        <v>945</v>
      </c>
      <c r="L61" s="3">
        <v>46183.42285879629</v>
      </c>
      <c r="M61" s="2" t="s">
        <v>946</v>
      </c>
      <c r="N61" s="29"/>
      <c r="O61" s="29"/>
      <c r="S61" s="30"/>
      <c r="T61" s="30"/>
    </row>
    <row r="62">
      <c r="A62" s="2" t="s">
        <v>1160</v>
      </c>
      <c r="B62" s="2" t="s">
        <v>17</v>
      </c>
      <c r="C62" s="4">
        <v>2025.0</v>
      </c>
      <c r="D62" s="4">
        <v>3.0</v>
      </c>
      <c r="E62" s="3">
        <v>46085.0</v>
      </c>
      <c r="F62" s="4">
        <v>1.0</v>
      </c>
      <c r="G62" s="2" t="s">
        <v>613</v>
      </c>
      <c r="H62" s="5" t="s">
        <v>1161</v>
      </c>
      <c r="J62" s="5">
        <v>130000.0</v>
      </c>
      <c r="K62" s="4" t="s">
        <v>945</v>
      </c>
      <c r="L62" s="3">
        <v>46183.42285879629</v>
      </c>
      <c r="M62" s="2" t="s">
        <v>946</v>
      </c>
      <c r="N62" s="29"/>
      <c r="O62" s="29"/>
      <c r="S62" s="30"/>
      <c r="T62" s="30"/>
    </row>
    <row r="63">
      <c r="A63" s="2" t="s">
        <v>1162</v>
      </c>
      <c r="B63" s="2" t="s">
        <v>17</v>
      </c>
      <c r="C63" s="4">
        <v>2025.0</v>
      </c>
      <c r="D63" s="4">
        <v>3.0</v>
      </c>
      <c r="E63" s="3">
        <v>46099.0</v>
      </c>
      <c r="F63" s="4">
        <v>2.0</v>
      </c>
      <c r="G63" s="2" t="s">
        <v>602</v>
      </c>
      <c r="H63" s="5" t="s">
        <v>169</v>
      </c>
      <c r="I63" s="2" t="s">
        <v>1163</v>
      </c>
      <c r="J63" s="5">
        <v>1622000.0</v>
      </c>
      <c r="K63" s="4" t="s">
        <v>945</v>
      </c>
      <c r="L63" s="3">
        <v>46183.42285879629</v>
      </c>
      <c r="M63" s="2" t="s">
        <v>946</v>
      </c>
      <c r="N63" s="29"/>
      <c r="O63" s="29"/>
      <c r="S63" s="30"/>
      <c r="T63" s="30"/>
    </row>
    <row r="64">
      <c r="A64" s="2" t="s">
        <v>1164</v>
      </c>
      <c r="B64" s="2" t="s">
        <v>17</v>
      </c>
      <c r="C64" s="4">
        <v>2025.0</v>
      </c>
      <c r="D64" s="4">
        <v>3.0</v>
      </c>
      <c r="E64" s="3">
        <v>46099.0</v>
      </c>
      <c r="F64" s="4">
        <v>2.0</v>
      </c>
      <c r="G64" s="2" t="s">
        <v>602</v>
      </c>
      <c r="H64" s="5" t="s">
        <v>176</v>
      </c>
      <c r="I64" s="2" t="s">
        <v>1165</v>
      </c>
      <c r="J64" s="5">
        <v>2801000.0</v>
      </c>
      <c r="K64" s="4" t="s">
        <v>945</v>
      </c>
      <c r="L64" s="3">
        <v>46183.42285879629</v>
      </c>
      <c r="M64" s="2" t="s">
        <v>946</v>
      </c>
      <c r="N64" s="29"/>
      <c r="O64" s="29"/>
      <c r="S64" s="30"/>
      <c r="T64" s="30"/>
    </row>
    <row r="65">
      <c r="A65" s="2" t="s">
        <v>1166</v>
      </c>
      <c r="B65" s="2" t="s">
        <v>17</v>
      </c>
      <c r="C65" s="4">
        <v>2025.0</v>
      </c>
      <c r="D65" s="4">
        <v>3.0</v>
      </c>
      <c r="E65" s="3">
        <v>46099.0</v>
      </c>
      <c r="F65" s="4">
        <v>2.0</v>
      </c>
      <c r="G65" s="2" t="s">
        <v>602</v>
      </c>
      <c r="H65" s="5" t="s">
        <v>183</v>
      </c>
      <c r="J65" s="5">
        <v>400000.0</v>
      </c>
      <c r="K65" s="4" t="s">
        <v>945</v>
      </c>
      <c r="L65" s="3">
        <v>46183.42285879629</v>
      </c>
      <c r="M65" s="2" t="s">
        <v>946</v>
      </c>
      <c r="N65" s="29"/>
      <c r="O65" s="29"/>
      <c r="S65" s="30"/>
      <c r="T65" s="30"/>
    </row>
    <row r="66">
      <c r="A66" s="2" t="s">
        <v>1167</v>
      </c>
      <c r="B66" s="2" t="s">
        <v>17</v>
      </c>
      <c r="C66" s="4">
        <v>2025.0</v>
      </c>
      <c r="D66" s="4">
        <v>3.0</v>
      </c>
      <c r="E66" s="3">
        <v>46099.0</v>
      </c>
      <c r="F66" s="4">
        <v>2.0</v>
      </c>
      <c r="G66" s="2" t="s">
        <v>602</v>
      </c>
      <c r="H66" s="5" t="s">
        <v>188</v>
      </c>
      <c r="J66" s="5">
        <v>150000.0</v>
      </c>
      <c r="K66" s="4" t="s">
        <v>945</v>
      </c>
      <c r="L66" s="3">
        <v>46183.42285879629</v>
      </c>
      <c r="M66" s="2" t="s">
        <v>946</v>
      </c>
      <c r="N66" s="29"/>
      <c r="O66" s="29"/>
      <c r="S66" s="30"/>
      <c r="T66" s="30"/>
    </row>
    <row r="67">
      <c r="A67" s="2" t="s">
        <v>1168</v>
      </c>
      <c r="B67" s="2" t="s">
        <v>17</v>
      </c>
      <c r="C67" s="4">
        <v>2025.0</v>
      </c>
      <c r="D67" s="4">
        <v>3.0</v>
      </c>
      <c r="E67" s="3">
        <v>46099.0</v>
      </c>
      <c r="F67" s="4">
        <v>2.0</v>
      </c>
      <c r="G67" s="2" t="s">
        <v>613</v>
      </c>
      <c r="H67" s="5" t="s">
        <v>233</v>
      </c>
      <c r="J67" s="5">
        <v>3500000.0</v>
      </c>
      <c r="K67" s="4" t="s">
        <v>945</v>
      </c>
      <c r="L67" s="3">
        <v>46183.42285879629</v>
      </c>
      <c r="M67" s="2" t="s">
        <v>946</v>
      </c>
      <c r="N67" s="29"/>
      <c r="O67" s="29"/>
      <c r="S67" s="30"/>
      <c r="T67" s="30"/>
    </row>
    <row r="68">
      <c r="A68" s="2" t="s">
        <v>1169</v>
      </c>
      <c r="B68" s="2" t="s">
        <v>17</v>
      </c>
      <c r="C68" s="4">
        <v>2025.0</v>
      </c>
      <c r="D68" s="4">
        <v>3.0</v>
      </c>
      <c r="E68" s="3">
        <v>46099.0</v>
      </c>
      <c r="F68" s="4">
        <v>2.0</v>
      </c>
      <c r="G68" s="2" t="s">
        <v>626</v>
      </c>
      <c r="H68" s="5" t="s">
        <v>243</v>
      </c>
      <c r="J68" s="5">
        <v>1000000.0</v>
      </c>
      <c r="K68" s="4" t="s">
        <v>945</v>
      </c>
      <c r="L68" s="3">
        <v>46183.42285879629</v>
      </c>
      <c r="M68" s="2" t="s">
        <v>946</v>
      </c>
      <c r="N68" s="29"/>
      <c r="O68" s="29"/>
      <c r="S68" s="30"/>
      <c r="T68" s="30"/>
    </row>
    <row r="69">
      <c r="A69" s="2" t="s">
        <v>1170</v>
      </c>
      <c r="B69" s="2" t="s">
        <v>17</v>
      </c>
      <c r="C69" s="4">
        <v>2025.0</v>
      </c>
      <c r="D69" s="4">
        <v>3.0</v>
      </c>
      <c r="E69" s="3">
        <v>46099.0</v>
      </c>
      <c r="F69" s="4">
        <v>2.0</v>
      </c>
      <c r="G69" s="2" t="s">
        <v>607</v>
      </c>
      <c r="H69" s="5" t="s">
        <v>197</v>
      </c>
      <c r="I69" s="2" t="s">
        <v>1171</v>
      </c>
      <c r="J69" s="5">
        <v>6625000.0</v>
      </c>
      <c r="K69" s="4" t="s">
        <v>945</v>
      </c>
      <c r="L69" s="3">
        <v>46183.42285879629</v>
      </c>
      <c r="M69" s="2" t="s">
        <v>946</v>
      </c>
      <c r="N69" s="29"/>
      <c r="O69" s="29"/>
      <c r="S69" s="30"/>
      <c r="T69" s="30"/>
    </row>
    <row r="70">
      <c r="A70" s="2" t="s">
        <v>1172</v>
      </c>
      <c r="B70" s="2" t="s">
        <v>17</v>
      </c>
      <c r="C70" s="4">
        <v>2025.0</v>
      </c>
      <c r="D70" s="4">
        <v>3.0</v>
      </c>
      <c r="E70" s="3">
        <v>46099.0</v>
      </c>
      <c r="F70" s="4">
        <v>2.0</v>
      </c>
      <c r="G70" s="2" t="s">
        <v>613</v>
      </c>
      <c r="H70" s="5" t="s">
        <v>1131</v>
      </c>
      <c r="J70" s="5">
        <v>200000.0</v>
      </c>
      <c r="K70" s="4" t="s">
        <v>945</v>
      </c>
      <c r="L70" s="3">
        <v>46183.42285879629</v>
      </c>
      <c r="M70" s="2" t="s">
        <v>946</v>
      </c>
      <c r="N70" s="29"/>
      <c r="O70" s="29"/>
      <c r="S70" s="30"/>
      <c r="T70" s="30"/>
    </row>
    <row r="71">
      <c r="A71" s="2" t="s">
        <v>1173</v>
      </c>
      <c r="B71" s="2" t="s">
        <v>17</v>
      </c>
      <c r="C71" s="4">
        <v>2025.0</v>
      </c>
      <c r="D71" s="4">
        <v>3.0</v>
      </c>
      <c r="E71" s="3">
        <v>46099.0</v>
      </c>
      <c r="F71" s="4">
        <v>2.0</v>
      </c>
      <c r="G71" s="2" t="s">
        <v>626</v>
      </c>
      <c r="H71" s="5" t="s">
        <v>239</v>
      </c>
      <c r="I71" s="2" t="s">
        <v>247</v>
      </c>
      <c r="J71" s="5">
        <v>300000.0</v>
      </c>
      <c r="K71" s="4" t="s">
        <v>945</v>
      </c>
      <c r="L71" s="3">
        <v>46183.42285879629</v>
      </c>
      <c r="M71" s="2" t="s">
        <v>946</v>
      </c>
      <c r="N71" s="29"/>
      <c r="O71" s="29"/>
      <c r="S71" s="30"/>
      <c r="T71" s="30"/>
    </row>
    <row r="72">
      <c r="A72" s="2" t="s">
        <v>1174</v>
      </c>
      <c r="B72" s="2" t="s">
        <v>17</v>
      </c>
      <c r="C72" s="4">
        <v>2025.0</v>
      </c>
      <c r="D72" s="4">
        <v>3.0</v>
      </c>
      <c r="E72" s="3">
        <v>46099.0</v>
      </c>
      <c r="F72" s="4">
        <v>2.0</v>
      </c>
      <c r="G72" s="2" t="s">
        <v>607</v>
      </c>
      <c r="H72" s="5" t="s">
        <v>275</v>
      </c>
      <c r="J72" s="5">
        <v>200000.0</v>
      </c>
      <c r="K72" s="4" t="s">
        <v>945</v>
      </c>
      <c r="L72" s="3">
        <v>46183.42285879629</v>
      </c>
      <c r="M72" s="2" t="s">
        <v>946</v>
      </c>
      <c r="N72" s="29"/>
      <c r="O72" s="29"/>
      <c r="S72" s="30"/>
      <c r="T72" s="30"/>
    </row>
    <row r="73">
      <c r="A73" s="2" t="s">
        <v>1175</v>
      </c>
      <c r="B73" s="2" t="s">
        <v>17</v>
      </c>
      <c r="C73" s="4">
        <v>2025.0</v>
      </c>
      <c r="D73" s="4">
        <v>3.0</v>
      </c>
      <c r="E73" s="3">
        <v>46099.0</v>
      </c>
      <c r="F73" s="4">
        <v>2.0</v>
      </c>
      <c r="G73" s="2" t="s">
        <v>613</v>
      </c>
      <c r="H73" s="5" t="s">
        <v>200</v>
      </c>
      <c r="J73" s="5">
        <v>150000.0</v>
      </c>
      <c r="K73" s="4" t="s">
        <v>945</v>
      </c>
      <c r="L73" s="3">
        <v>46183.42285879629</v>
      </c>
      <c r="M73" s="2" t="s">
        <v>946</v>
      </c>
      <c r="N73" s="29"/>
      <c r="O73" s="29"/>
      <c r="S73" s="30"/>
      <c r="T73" s="30"/>
    </row>
    <row r="74">
      <c r="A74" s="2" t="s">
        <v>1176</v>
      </c>
      <c r="B74" s="2" t="s">
        <v>17</v>
      </c>
      <c r="C74" s="4">
        <v>2025.0</v>
      </c>
      <c r="D74" s="4">
        <v>3.0</v>
      </c>
      <c r="E74" s="3">
        <v>46099.0</v>
      </c>
      <c r="F74" s="4">
        <v>2.0</v>
      </c>
      <c r="G74" s="2" t="s">
        <v>602</v>
      </c>
      <c r="H74" s="5" t="s">
        <v>1177</v>
      </c>
      <c r="J74" s="5">
        <v>130000.0</v>
      </c>
      <c r="K74" s="4" t="s">
        <v>945</v>
      </c>
      <c r="L74" s="3">
        <v>46183.42285879629</v>
      </c>
      <c r="M74" s="2" t="s">
        <v>946</v>
      </c>
      <c r="N74" s="29"/>
      <c r="O74" s="29"/>
      <c r="S74" s="30"/>
      <c r="T74" s="30"/>
    </row>
    <row r="75">
      <c r="A75" s="2" t="s">
        <v>1178</v>
      </c>
      <c r="B75" s="2" t="s">
        <v>17</v>
      </c>
      <c r="C75" s="4">
        <v>2025.0</v>
      </c>
      <c r="D75" s="4">
        <v>4.0</v>
      </c>
      <c r="E75" s="3">
        <v>46113.0</v>
      </c>
      <c r="F75" s="4">
        <v>1.0</v>
      </c>
      <c r="G75" s="2" t="s">
        <v>602</v>
      </c>
      <c r="H75" s="5" t="s">
        <v>169</v>
      </c>
      <c r="I75" s="2" t="s">
        <v>1179</v>
      </c>
      <c r="J75" s="5">
        <v>1976000.0</v>
      </c>
      <c r="K75" s="4" t="s">
        <v>945</v>
      </c>
      <c r="L75" s="3">
        <v>46183.42285879629</v>
      </c>
      <c r="M75" s="2" t="s">
        <v>946</v>
      </c>
      <c r="N75" s="29"/>
      <c r="O75" s="29"/>
      <c r="S75" s="30"/>
      <c r="T75" s="30"/>
    </row>
    <row r="76">
      <c r="A76" s="2" t="s">
        <v>1180</v>
      </c>
      <c r="B76" s="2" t="s">
        <v>17</v>
      </c>
      <c r="C76" s="4">
        <v>2025.0</v>
      </c>
      <c r="D76" s="4">
        <v>4.0</v>
      </c>
      <c r="E76" s="3">
        <v>46113.0</v>
      </c>
      <c r="F76" s="4">
        <v>1.0</v>
      </c>
      <c r="G76" s="2" t="s">
        <v>602</v>
      </c>
      <c r="H76" s="5" t="s">
        <v>176</v>
      </c>
      <c r="I76" s="2" t="s">
        <v>1181</v>
      </c>
      <c r="J76" s="5">
        <v>2767000.0</v>
      </c>
      <c r="K76" s="4" t="s">
        <v>945</v>
      </c>
      <c r="L76" s="3">
        <v>46183.42285879629</v>
      </c>
      <c r="M76" s="2" t="s">
        <v>946</v>
      </c>
      <c r="N76" s="29"/>
      <c r="O76" s="29"/>
      <c r="S76" s="30"/>
      <c r="T76" s="30"/>
    </row>
    <row r="77">
      <c r="A77" s="2" t="s">
        <v>1182</v>
      </c>
      <c r="B77" s="2" t="s">
        <v>17</v>
      </c>
      <c r="C77" s="4">
        <v>2025.0</v>
      </c>
      <c r="D77" s="4">
        <v>4.0</v>
      </c>
      <c r="E77" s="3">
        <v>46113.0</v>
      </c>
      <c r="F77" s="4">
        <v>1.0</v>
      </c>
      <c r="G77" s="2" t="s">
        <v>602</v>
      </c>
      <c r="H77" s="5" t="s">
        <v>183</v>
      </c>
      <c r="J77" s="5">
        <v>400000.0</v>
      </c>
      <c r="K77" s="4" t="s">
        <v>945</v>
      </c>
      <c r="L77" s="3">
        <v>46183.42285879629</v>
      </c>
      <c r="M77" s="2" t="s">
        <v>946</v>
      </c>
      <c r="N77" s="29"/>
      <c r="O77" s="29"/>
      <c r="S77" s="30"/>
      <c r="T77" s="30"/>
    </row>
    <row r="78">
      <c r="A78" s="2" t="s">
        <v>1183</v>
      </c>
      <c r="B78" s="2" t="s">
        <v>17</v>
      </c>
      <c r="C78" s="4">
        <v>2025.0</v>
      </c>
      <c r="D78" s="4">
        <v>4.0</v>
      </c>
      <c r="E78" s="3">
        <v>46113.0</v>
      </c>
      <c r="F78" s="4">
        <v>1.0</v>
      </c>
      <c r="G78" s="2" t="s">
        <v>602</v>
      </c>
      <c r="H78" s="5" t="s">
        <v>188</v>
      </c>
      <c r="J78" s="5">
        <v>150000.0</v>
      </c>
      <c r="K78" s="4" t="s">
        <v>945</v>
      </c>
      <c r="L78" s="3">
        <v>46183.42285879629</v>
      </c>
      <c r="M78" s="2" t="s">
        <v>946</v>
      </c>
      <c r="N78" s="29"/>
      <c r="O78" s="29"/>
      <c r="S78" s="30"/>
      <c r="T78" s="30"/>
    </row>
    <row r="79">
      <c r="A79" s="2" t="s">
        <v>1184</v>
      </c>
      <c r="B79" s="2" t="s">
        <v>17</v>
      </c>
      <c r="C79" s="4">
        <v>2025.0</v>
      </c>
      <c r="D79" s="4">
        <v>4.0</v>
      </c>
      <c r="E79" s="3">
        <v>46113.0</v>
      </c>
      <c r="F79" s="4">
        <v>1.0</v>
      </c>
      <c r="G79" s="2" t="s">
        <v>626</v>
      </c>
      <c r="H79" s="5" t="s">
        <v>243</v>
      </c>
      <c r="J79" s="5">
        <v>1500000.0</v>
      </c>
      <c r="K79" s="4" t="s">
        <v>945</v>
      </c>
      <c r="L79" s="3">
        <v>46183.42285879629</v>
      </c>
      <c r="M79" s="2" t="s">
        <v>946</v>
      </c>
      <c r="N79" s="29"/>
      <c r="O79" s="29"/>
      <c r="S79" s="30"/>
      <c r="T79" s="30"/>
    </row>
    <row r="80">
      <c r="A80" s="2" t="s">
        <v>1185</v>
      </c>
      <c r="B80" s="2" t="s">
        <v>17</v>
      </c>
      <c r="C80" s="4">
        <v>2025.0</v>
      </c>
      <c r="D80" s="4">
        <v>4.0</v>
      </c>
      <c r="E80" s="3">
        <v>46113.0</v>
      </c>
      <c r="F80" s="4">
        <v>1.0</v>
      </c>
      <c r="G80" s="2" t="s">
        <v>613</v>
      </c>
      <c r="H80" s="5" t="s">
        <v>1186</v>
      </c>
      <c r="J80" s="5">
        <v>4650000.0</v>
      </c>
      <c r="K80" s="4" t="s">
        <v>945</v>
      </c>
      <c r="L80" s="3">
        <v>46183.42285879629</v>
      </c>
      <c r="M80" s="2" t="s">
        <v>946</v>
      </c>
      <c r="N80" s="29"/>
      <c r="O80" s="29"/>
      <c r="S80" s="30"/>
      <c r="T80" s="30"/>
    </row>
    <row r="81">
      <c r="A81" s="2" t="s">
        <v>1187</v>
      </c>
      <c r="B81" s="2" t="s">
        <v>17</v>
      </c>
      <c r="C81" s="4">
        <v>2025.0</v>
      </c>
      <c r="D81" s="4">
        <v>4.0</v>
      </c>
      <c r="E81" s="3">
        <v>46113.0</v>
      </c>
      <c r="F81" s="4">
        <v>1.0</v>
      </c>
      <c r="G81" s="2" t="s">
        <v>613</v>
      </c>
      <c r="H81" s="5" t="s">
        <v>1188</v>
      </c>
      <c r="J81" s="5">
        <v>5700000.0</v>
      </c>
      <c r="K81" s="4" t="s">
        <v>945</v>
      </c>
      <c r="L81" s="3">
        <v>46183.42285879629</v>
      </c>
      <c r="M81" s="2" t="s">
        <v>946</v>
      </c>
      <c r="N81" s="29"/>
      <c r="O81" s="29"/>
      <c r="S81" s="30"/>
      <c r="T81" s="30"/>
    </row>
    <row r="82">
      <c r="A82" s="2" t="s">
        <v>1189</v>
      </c>
      <c r="B82" s="2" t="s">
        <v>17</v>
      </c>
      <c r="C82" s="4">
        <v>2025.0</v>
      </c>
      <c r="D82" s="4">
        <v>4.0</v>
      </c>
      <c r="E82" s="3">
        <v>46113.0</v>
      </c>
      <c r="F82" s="4">
        <v>1.0</v>
      </c>
      <c r="G82" s="2" t="s">
        <v>607</v>
      </c>
      <c r="H82" s="5" t="s">
        <v>197</v>
      </c>
      <c r="J82" s="5">
        <v>975000.0</v>
      </c>
      <c r="K82" s="4" t="s">
        <v>945</v>
      </c>
      <c r="L82" s="3">
        <v>46183.42285879629</v>
      </c>
      <c r="M82" s="2" t="s">
        <v>946</v>
      </c>
      <c r="N82" s="29"/>
      <c r="O82" s="29"/>
      <c r="S82" s="30"/>
      <c r="T82" s="30"/>
    </row>
    <row r="83">
      <c r="A83" s="2" t="s">
        <v>1190</v>
      </c>
      <c r="B83" s="2" t="s">
        <v>17</v>
      </c>
      <c r="C83" s="4">
        <v>2025.0</v>
      </c>
      <c r="D83" s="4">
        <v>4.0</v>
      </c>
      <c r="E83" s="3">
        <v>46113.0</v>
      </c>
      <c r="F83" s="4">
        <v>1.0</v>
      </c>
      <c r="G83" s="2" t="s">
        <v>626</v>
      </c>
      <c r="H83" s="5" t="s">
        <v>248</v>
      </c>
      <c r="J83" s="5">
        <v>1180000.0</v>
      </c>
      <c r="K83" s="4" t="s">
        <v>945</v>
      </c>
      <c r="L83" s="3">
        <v>46183.42285879629</v>
      </c>
      <c r="M83" s="2" t="s">
        <v>946</v>
      </c>
      <c r="N83" s="29"/>
      <c r="O83" s="29"/>
      <c r="S83" s="30"/>
      <c r="T83" s="30"/>
    </row>
    <row r="84">
      <c r="A84" s="2" t="s">
        <v>1191</v>
      </c>
      <c r="B84" s="2" t="s">
        <v>17</v>
      </c>
      <c r="C84" s="4">
        <v>2025.0</v>
      </c>
      <c r="D84" s="4">
        <v>4.0</v>
      </c>
      <c r="E84" s="3">
        <v>46113.0</v>
      </c>
      <c r="F84" s="4">
        <v>1.0</v>
      </c>
      <c r="G84" s="2" t="s">
        <v>613</v>
      </c>
      <c r="H84" s="5" t="s">
        <v>200</v>
      </c>
      <c r="J84" s="5">
        <v>260000.0</v>
      </c>
      <c r="K84" s="4" t="s">
        <v>945</v>
      </c>
      <c r="L84" s="3">
        <v>46183.42285879629</v>
      </c>
      <c r="M84" s="2" t="s">
        <v>946</v>
      </c>
      <c r="N84" s="29"/>
      <c r="O84" s="29"/>
      <c r="S84" s="30"/>
      <c r="T84" s="30"/>
    </row>
    <row r="85">
      <c r="A85" s="2" t="s">
        <v>1192</v>
      </c>
      <c r="B85" s="2" t="s">
        <v>17</v>
      </c>
      <c r="C85" s="4">
        <v>2025.0</v>
      </c>
      <c r="D85" s="4">
        <v>4.0</v>
      </c>
      <c r="E85" s="3">
        <v>46113.0</v>
      </c>
      <c r="F85" s="4">
        <v>1.0</v>
      </c>
      <c r="G85" s="2" t="s">
        <v>613</v>
      </c>
      <c r="H85" s="5" t="s">
        <v>935</v>
      </c>
      <c r="J85" s="5">
        <v>3070000.0</v>
      </c>
      <c r="K85" s="4" t="s">
        <v>945</v>
      </c>
      <c r="L85" s="3">
        <v>46183.42285879629</v>
      </c>
      <c r="M85" s="2" t="s">
        <v>946</v>
      </c>
      <c r="N85" s="29"/>
      <c r="O85" s="29"/>
      <c r="S85" s="30"/>
      <c r="T85" s="30"/>
    </row>
    <row r="86">
      <c r="A86" s="2" t="s">
        <v>1193</v>
      </c>
      <c r="B86" s="2" t="s">
        <v>17</v>
      </c>
      <c r="C86" s="4">
        <v>2025.0</v>
      </c>
      <c r="D86" s="4">
        <v>4.0</v>
      </c>
      <c r="E86" s="3">
        <v>46113.0</v>
      </c>
      <c r="F86" s="4">
        <v>1.0</v>
      </c>
      <c r="G86" s="2" t="s">
        <v>613</v>
      </c>
      <c r="H86" s="5" t="s">
        <v>1194</v>
      </c>
      <c r="J86" s="5">
        <v>6250000.0</v>
      </c>
      <c r="K86" s="4" t="s">
        <v>945</v>
      </c>
      <c r="L86" s="3">
        <v>46183.42285879629</v>
      </c>
      <c r="M86" s="2" t="s">
        <v>946</v>
      </c>
      <c r="N86" s="29"/>
      <c r="O86" s="29"/>
      <c r="S86" s="30"/>
      <c r="T86" s="30"/>
    </row>
    <row r="87">
      <c r="A87" s="2" t="s">
        <v>1195</v>
      </c>
      <c r="B87" s="2" t="s">
        <v>17</v>
      </c>
      <c r="C87" s="4">
        <v>2025.0</v>
      </c>
      <c r="D87" s="4">
        <v>4.0</v>
      </c>
      <c r="E87" s="3">
        <v>46113.0</v>
      </c>
      <c r="F87" s="4">
        <v>1.0</v>
      </c>
      <c r="G87" s="2" t="s">
        <v>1156</v>
      </c>
      <c r="H87" s="5" t="s">
        <v>938</v>
      </c>
      <c r="J87" s="5">
        <v>750000.0</v>
      </c>
      <c r="K87" s="4" t="s">
        <v>945</v>
      </c>
      <c r="L87" s="3">
        <v>46183.42285879629</v>
      </c>
      <c r="M87" s="2" t="s">
        <v>946</v>
      </c>
      <c r="N87" s="29"/>
      <c r="O87" s="29"/>
      <c r="S87" s="30"/>
      <c r="T87" s="30"/>
    </row>
    <row r="88">
      <c r="A88" s="2" t="s">
        <v>1196</v>
      </c>
      <c r="B88" s="2" t="s">
        <v>17</v>
      </c>
      <c r="C88" s="4">
        <v>2025.0</v>
      </c>
      <c r="D88" s="4">
        <v>4.0</v>
      </c>
      <c r="E88" s="3">
        <v>46113.0</v>
      </c>
      <c r="F88" s="4">
        <v>1.0</v>
      </c>
      <c r="G88" s="2" t="s">
        <v>607</v>
      </c>
      <c r="H88" s="5" t="s">
        <v>340</v>
      </c>
      <c r="I88" s="2" t="s">
        <v>1197</v>
      </c>
      <c r="J88" s="5">
        <v>3.4675E7</v>
      </c>
      <c r="K88" s="4" t="s">
        <v>945</v>
      </c>
      <c r="L88" s="3">
        <v>46183.42285879629</v>
      </c>
      <c r="M88" s="2" t="s">
        <v>946</v>
      </c>
      <c r="N88" s="29"/>
      <c r="O88" s="29"/>
      <c r="S88" s="30"/>
      <c r="T88" s="30"/>
    </row>
    <row r="89">
      <c r="A89" s="2" t="s">
        <v>1198</v>
      </c>
      <c r="B89" s="2" t="s">
        <v>17</v>
      </c>
      <c r="C89" s="4">
        <v>2025.0</v>
      </c>
      <c r="D89" s="4">
        <v>4.0</v>
      </c>
      <c r="E89" s="3">
        <v>46113.0</v>
      </c>
      <c r="F89" s="4">
        <v>1.0</v>
      </c>
      <c r="G89" s="2" t="s">
        <v>607</v>
      </c>
      <c r="H89" s="5" t="s">
        <v>933</v>
      </c>
      <c r="I89" s="2" t="s">
        <v>1199</v>
      </c>
      <c r="J89" s="5">
        <v>7315000.0</v>
      </c>
      <c r="K89" s="4" t="s">
        <v>945</v>
      </c>
      <c r="L89" s="3">
        <v>46183.42285879629</v>
      </c>
      <c r="M89" s="2" t="s">
        <v>946</v>
      </c>
      <c r="N89" s="29"/>
      <c r="O89" s="29"/>
      <c r="S89" s="30"/>
      <c r="T89" s="30"/>
    </row>
    <row r="90">
      <c r="A90" s="2" t="s">
        <v>1200</v>
      </c>
      <c r="B90" s="2" t="s">
        <v>17</v>
      </c>
      <c r="C90" s="4">
        <v>2025.0</v>
      </c>
      <c r="D90" s="4">
        <v>4.0</v>
      </c>
      <c r="E90" s="3">
        <v>46120.0</v>
      </c>
      <c r="F90" s="4">
        <v>2.0</v>
      </c>
      <c r="G90" s="2" t="s">
        <v>602</v>
      </c>
      <c r="H90" s="5" t="s">
        <v>169</v>
      </c>
      <c r="I90" s="2" t="s">
        <v>1201</v>
      </c>
      <c r="J90" s="5">
        <v>3815000.0</v>
      </c>
      <c r="K90" s="4" t="s">
        <v>945</v>
      </c>
      <c r="L90" s="3">
        <v>46183.42285879629</v>
      </c>
      <c r="M90" s="2" t="s">
        <v>946</v>
      </c>
      <c r="N90" s="29"/>
      <c r="O90" s="29"/>
      <c r="S90" s="30"/>
      <c r="T90" s="30"/>
    </row>
    <row r="91">
      <c r="A91" s="2" t="s">
        <v>1202</v>
      </c>
      <c r="B91" s="2" t="s">
        <v>17</v>
      </c>
      <c r="C91" s="4">
        <v>2025.0</v>
      </c>
      <c r="D91" s="4">
        <v>4.0</v>
      </c>
      <c r="E91" s="3">
        <v>46120.0</v>
      </c>
      <c r="F91" s="4">
        <v>2.0</v>
      </c>
      <c r="G91" s="2" t="s">
        <v>602</v>
      </c>
      <c r="H91" s="5" t="s">
        <v>176</v>
      </c>
      <c r="I91" s="2" t="s">
        <v>1203</v>
      </c>
      <c r="J91" s="5">
        <v>7930000.0</v>
      </c>
      <c r="K91" s="4" t="s">
        <v>945</v>
      </c>
      <c r="L91" s="3">
        <v>46183.42285879629</v>
      </c>
      <c r="M91" s="2" t="s">
        <v>946</v>
      </c>
      <c r="N91" s="29"/>
      <c r="O91" s="29"/>
      <c r="S91" s="30"/>
      <c r="T91" s="30"/>
    </row>
    <row r="92">
      <c r="A92" s="2" t="s">
        <v>1204</v>
      </c>
      <c r="B92" s="2" t="s">
        <v>17</v>
      </c>
      <c r="C92" s="4">
        <v>2025.0</v>
      </c>
      <c r="D92" s="4">
        <v>4.0</v>
      </c>
      <c r="E92" s="3">
        <v>46120.0</v>
      </c>
      <c r="F92" s="4">
        <v>2.0</v>
      </c>
      <c r="G92" s="2" t="s">
        <v>602</v>
      </c>
      <c r="H92" s="5" t="s">
        <v>183</v>
      </c>
      <c r="J92" s="5">
        <v>1000000.0</v>
      </c>
      <c r="K92" s="4" t="s">
        <v>945</v>
      </c>
      <c r="L92" s="3">
        <v>46183.42285879629</v>
      </c>
      <c r="M92" s="2" t="s">
        <v>946</v>
      </c>
      <c r="N92" s="29"/>
      <c r="O92" s="29"/>
      <c r="S92" s="30"/>
      <c r="T92" s="30"/>
    </row>
    <row r="93">
      <c r="A93" s="2" t="s">
        <v>1205</v>
      </c>
      <c r="B93" s="2" t="s">
        <v>17</v>
      </c>
      <c r="C93" s="4">
        <v>2025.0</v>
      </c>
      <c r="D93" s="4">
        <v>4.0</v>
      </c>
      <c r="E93" s="3">
        <v>46120.0</v>
      </c>
      <c r="F93" s="4">
        <v>2.0</v>
      </c>
      <c r="G93" s="2" t="s">
        <v>602</v>
      </c>
      <c r="H93" s="5" t="s">
        <v>188</v>
      </c>
      <c r="J93" s="5">
        <v>350000.0</v>
      </c>
      <c r="K93" s="4" t="s">
        <v>945</v>
      </c>
      <c r="L93" s="3">
        <v>46183.42285879629</v>
      </c>
      <c r="M93" s="2" t="s">
        <v>946</v>
      </c>
      <c r="N93" s="29"/>
      <c r="O93" s="29"/>
      <c r="S93" s="30"/>
      <c r="T93" s="30"/>
    </row>
    <row r="94">
      <c r="A94" s="2" t="s">
        <v>1206</v>
      </c>
      <c r="B94" s="2" t="s">
        <v>17</v>
      </c>
      <c r="C94" s="4">
        <v>2025.0</v>
      </c>
      <c r="D94" s="4">
        <v>4.0</v>
      </c>
      <c r="E94" s="3">
        <v>46120.0</v>
      </c>
      <c r="F94" s="4">
        <v>2.0</v>
      </c>
      <c r="G94" s="2" t="s">
        <v>626</v>
      </c>
      <c r="H94" s="5" t="s">
        <v>243</v>
      </c>
      <c r="J94" s="5">
        <v>2250000.0</v>
      </c>
      <c r="K94" s="4" t="s">
        <v>945</v>
      </c>
      <c r="L94" s="3">
        <v>46183.42285879629</v>
      </c>
      <c r="M94" s="2" t="s">
        <v>946</v>
      </c>
      <c r="N94" s="29"/>
      <c r="O94" s="29"/>
      <c r="S94" s="30"/>
      <c r="T94" s="30"/>
    </row>
    <row r="95">
      <c r="A95" s="2" t="s">
        <v>1207</v>
      </c>
      <c r="B95" s="2" t="s">
        <v>17</v>
      </c>
      <c r="C95" s="4">
        <v>2025.0</v>
      </c>
      <c r="D95" s="4">
        <v>4.0</v>
      </c>
      <c r="E95" s="3">
        <v>46120.0</v>
      </c>
      <c r="F95" s="4">
        <v>2.0</v>
      </c>
      <c r="G95" s="2" t="s">
        <v>613</v>
      </c>
      <c r="H95" s="5" t="s">
        <v>200</v>
      </c>
      <c r="J95" s="5">
        <v>100000.0</v>
      </c>
      <c r="K95" s="4" t="s">
        <v>945</v>
      </c>
      <c r="L95" s="3">
        <v>46183.42285879629</v>
      </c>
      <c r="M95" s="2" t="s">
        <v>946</v>
      </c>
      <c r="N95" s="29"/>
      <c r="O95" s="29"/>
      <c r="S95" s="30"/>
      <c r="T95" s="30"/>
    </row>
    <row r="96">
      <c r="A96" s="2" t="s">
        <v>1208</v>
      </c>
      <c r="B96" s="2" t="s">
        <v>17</v>
      </c>
      <c r="C96" s="4">
        <v>2025.0</v>
      </c>
      <c r="D96" s="4">
        <v>4.0</v>
      </c>
      <c r="E96" s="3">
        <v>46120.0</v>
      </c>
      <c r="F96" s="4">
        <v>2.0</v>
      </c>
      <c r="G96" s="2" t="s">
        <v>613</v>
      </c>
      <c r="H96" s="5" t="s">
        <v>935</v>
      </c>
      <c r="J96" s="5">
        <v>2352000.0</v>
      </c>
      <c r="K96" s="4" t="s">
        <v>945</v>
      </c>
      <c r="L96" s="3">
        <v>46183.42285879629</v>
      </c>
      <c r="M96" s="2" t="s">
        <v>946</v>
      </c>
      <c r="N96" s="29"/>
      <c r="O96" s="29"/>
      <c r="S96" s="30"/>
      <c r="T96" s="30"/>
    </row>
    <row r="97">
      <c r="A97" s="2" t="s">
        <v>1209</v>
      </c>
      <c r="B97" s="2" t="s">
        <v>17</v>
      </c>
      <c r="C97" s="4">
        <v>2025.0</v>
      </c>
      <c r="D97" s="4">
        <v>4.0</v>
      </c>
      <c r="E97" s="3">
        <v>46120.0</v>
      </c>
      <c r="F97" s="4">
        <v>2.0</v>
      </c>
      <c r="G97" s="2" t="s">
        <v>613</v>
      </c>
      <c r="H97" s="5" t="s">
        <v>1210</v>
      </c>
      <c r="J97" s="5">
        <v>8500000.0</v>
      </c>
      <c r="K97" s="4" t="s">
        <v>945</v>
      </c>
      <c r="L97" s="3">
        <v>46183.42285879629</v>
      </c>
      <c r="M97" s="2" t="s">
        <v>946</v>
      </c>
      <c r="N97" s="29"/>
      <c r="O97" s="29"/>
      <c r="S97" s="30"/>
      <c r="T97" s="30"/>
    </row>
    <row r="98">
      <c r="A98" s="2" t="s">
        <v>1211</v>
      </c>
      <c r="B98" s="2" t="s">
        <v>17</v>
      </c>
      <c r="C98" s="4">
        <v>2025.0</v>
      </c>
      <c r="D98" s="4">
        <v>4.0</v>
      </c>
      <c r="E98" s="3">
        <v>46120.0</v>
      </c>
      <c r="F98" s="4">
        <v>2.0</v>
      </c>
      <c r="G98" s="2" t="s">
        <v>1156</v>
      </c>
      <c r="H98" s="5" t="s">
        <v>938</v>
      </c>
      <c r="J98" s="5">
        <v>6000000.0</v>
      </c>
      <c r="K98" s="4" t="s">
        <v>945</v>
      </c>
      <c r="L98" s="3">
        <v>46183.42285879629</v>
      </c>
      <c r="M98" s="2" t="s">
        <v>946</v>
      </c>
      <c r="N98" s="29"/>
      <c r="O98" s="29"/>
      <c r="S98" s="30"/>
      <c r="T98" s="30"/>
    </row>
    <row r="99">
      <c r="A99" s="2" t="s">
        <v>1212</v>
      </c>
      <c r="B99" s="2" t="s">
        <v>17</v>
      </c>
      <c r="C99" s="4">
        <v>2025.0</v>
      </c>
      <c r="D99" s="4">
        <v>4.0</v>
      </c>
      <c r="E99" s="3">
        <v>46120.0</v>
      </c>
      <c r="F99" s="4">
        <v>2.0</v>
      </c>
      <c r="G99" s="2" t="s">
        <v>607</v>
      </c>
      <c r="H99" s="5" t="s">
        <v>197</v>
      </c>
      <c r="J99" s="5">
        <v>2375000.0</v>
      </c>
      <c r="K99" s="4" t="s">
        <v>945</v>
      </c>
      <c r="L99" s="3">
        <v>46183.42285879629</v>
      </c>
      <c r="M99" s="2" t="s">
        <v>946</v>
      </c>
      <c r="N99" s="29"/>
      <c r="O99" s="29"/>
      <c r="S99" s="30"/>
      <c r="T99" s="30"/>
    </row>
    <row r="100">
      <c r="A100" s="2" t="s">
        <v>1213</v>
      </c>
      <c r="B100" s="2" t="s">
        <v>17</v>
      </c>
      <c r="C100" s="4">
        <v>2025.0</v>
      </c>
      <c r="D100" s="4">
        <v>4.0</v>
      </c>
      <c r="E100" s="3">
        <v>46120.0</v>
      </c>
      <c r="F100" s="4">
        <v>2.0</v>
      </c>
      <c r="G100" s="2" t="s">
        <v>626</v>
      </c>
      <c r="H100" s="5" t="s">
        <v>248</v>
      </c>
      <c r="J100" s="5">
        <v>4585000.0</v>
      </c>
      <c r="K100" s="4" t="s">
        <v>945</v>
      </c>
      <c r="L100" s="3">
        <v>46183.42285879629</v>
      </c>
      <c r="M100" s="2" t="s">
        <v>946</v>
      </c>
      <c r="N100" s="29"/>
      <c r="O100" s="29"/>
      <c r="S100" s="30"/>
      <c r="T100" s="30"/>
    </row>
    <row r="101">
      <c r="A101" s="2" t="s">
        <v>1214</v>
      </c>
      <c r="B101" s="2" t="s">
        <v>17</v>
      </c>
      <c r="C101" s="4">
        <v>2025.0</v>
      </c>
      <c r="D101" s="4">
        <v>4.0</v>
      </c>
      <c r="E101" s="3">
        <v>46120.0</v>
      </c>
      <c r="F101" s="4">
        <v>2.0</v>
      </c>
      <c r="G101" s="2" t="s">
        <v>607</v>
      </c>
      <c r="H101" s="5" t="s">
        <v>275</v>
      </c>
      <c r="J101" s="5">
        <v>300000.0</v>
      </c>
      <c r="K101" s="4" t="s">
        <v>945</v>
      </c>
      <c r="L101" s="3">
        <v>46183.42285879629</v>
      </c>
      <c r="M101" s="2" t="s">
        <v>946</v>
      </c>
      <c r="N101" s="29"/>
      <c r="O101" s="29"/>
      <c r="S101" s="30"/>
      <c r="T101" s="30"/>
    </row>
    <row r="102">
      <c r="A102" s="2" t="s">
        <v>1215</v>
      </c>
      <c r="B102" s="2" t="s">
        <v>17</v>
      </c>
      <c r="C102" s="4">
        <v>2025.0</v>
      </c>
      <c r="D102" s="4">
        <v>5.0</v>
      </c>
      <c r="E102" s="3">
        <v>46134.0</v>
      </c>
      <c r="F102" s="4">
        <v>1.0</v>
      </c>
      <c r="G102" s="2" t="s">
        <v>602</v>
      </c>
      <c r="H102" s="5" t="s">
        <v>169</v>
      </c>
      <c r="I102" s="2" t="s">
        <v>1216</v>
      </c>
      <c r="J102" s="5">
        <v>2398000.0</v>
      </c>
      <c r="K102" s="4" t="s">
        <v>945</v>
      </c>
      <c r="L102" s="3">
        <v>46183.42285879629</v>
      </c>
      <c r="M102" s="2" t="s">
        <v>946</v>
      </c>
      <c r="N102" s="29"/>
      <c r="O102" s="29"/>
      <c r="S102" s="30"/>
      <c r="T102" s="30"/>
    </row>
    <row r="103">
      <c r="A103" s="2" t="s">
        <v>1217</v>
      </c>
      <c r="B103" s="2" t="s">
        <v>17</v>
      </c>
      <c r="C103" s="4">
        <v>2025.0</v>
      </c>
      <c r="D103" s="4">
        <v>5.0</v>
      </c>
      <c r="E103" s="3">
        <v>46134.0</v>
      </c>
      <c r="F103" s="4">
        <v>1.0</v>
      </c>
      <c r="G103" s="2" t="s">
        <v>602</v>
      </c>
      <c r="H103" s="5" t="s">
        <v>176</v>
      </c>
      <c r="I103" s="2" t="s">
        <v>1218</v>
      </c>
      <c r="J103" s="5">
        <v>4378190.0</v>
      </c>
      <c r="K103" s="4" t="s">
        <v>945</v>
      </c>
      <c r="L103" s="3">
        <v>46183.42285879629</v>
      </c>
      <c r="M103" s="2" t="s">
        <v>946</v>
      </c>
      <c r="N103" s="29"/>
      <c r="O103" s="29"/>
      <c r="S103" s="30"/>
      <c r="T103" s="30"/>
    </row>
    <row r="104">
      <c r="A104" s="2" t="s">
        <v>1219</v>
      </c>
      <c r="B104" s="2" t="s">
        <v>17</v>
      </c>
      <c r="C104" s="4">
        <v>2025.0</v>
      </c>
      <c r="D104" s="4">
        <v>5.0</v>
      </c>
      <c r="E104" s="3">
        <v>46134.0</v>
      </c>
      <c r="F104" s="4">
        <v>1.0</v>
      </c>
      <c r="G104" s="2" t="s">
        <v>602</v>
      </c>
      <c r="H104" s="5" t="s">
        <v>183</v>
      </c>
      <c r="J104" s="5">
        <v>500000.0</v>
      </c>
      <c r="K104" s="4" t="s">
        <v>945</v>
      </c>
      <c r="L104" s="3">
        <v>46183.42285879629</v>
      </c>
      <c r="M104" s="2" t="s">
        <v>946</v>
      </c>
      <c r="N104" s="29"/>
      <c r="O104" s="29"/>
      <c r="S104" s="30"/>
      <c r="T104" s="30"/>
    </row>
    <row r="105">
      <c r="A105" s="2" t="s">
        <v>1220</v>
      </c>
      <c r="B105" s="2" t="s">
        <v>17</v>
      </c>
      <c r="C105" s="4">
        <v>2025.0</v>
      </c>
      <c r="D105" s="4">
        <v>5.0</v>
      </c>
      <c r="E105" s="3">
        <v>46134.0</v>
      </c>
      <c r="F105" s="4">
        <v>1.0</v>
      </c>
      <c r="G105" s="2" t="s">
        <v>602</v>
      </c>
      <c r="H105" s="5" t="s">
        <v>188</v>
      </c>
      <c r="J105" s="5">
        <v>200000.0</v>
      </c>
      <c r="K105" s="4" t="s">
        <v>945</v>
      </c>
      <c r="L105" s="3">
        <v>46183.42285879629</v>
      </c>
      <c r="M105" s="2" t="s">
        <v>946</v>
      </c>
      <c r="N105" s="29"/>
      <c r="O105" s="29"/>
      <c r="S105" s="30"/>
      <c r="T105" s="30"/>
    </row>
    <row r="106">
      <c r="A106" s="2" t="s">
        <v>1221</v>
      </c>
      <c r="B106" s="2" t="s">
        <v>17</v>
      </c>
      <c r="C106" s="4">
        <v>2025.0</v>
      </c>
      <c r="D106" s="4">
        <v>5.0</v>
      </c>
      <c r="E106" s="3">
        <v>46134.0</v>
      </c>
      <c r="F106" s="4">
        <v>1.0</v>
      </c>
      <c r="G106" s="2" t="s">
        <v>237</v>
      </c>
      <c r="H106" s="5" t="s">
        <v>237</v>
      </c>
      <c r="I106" s="2" t="s">
        <v>1222</v>
      </c>
      <c r="J106" s="5">
        <v>5000000.0</v>
      </c>
      <c r="K106" s="4" t="s">
        <v>945</v>
      </c>
      <c r="L106" s="3">
        <v>46183.42285879629</v>
      </c>
      <c r="M106" s="2" t="s">
        <v>946</v>
      </c>
      <c r="N106" s="29"/>
      <c r="O106" s="29"/>
      <c r="S106" s="30"/>
      <c r="T106" s="30"/>
    </row>
    <row r="107">
      <c r="A107" s="2" t="s">
        <v>1223</v>
      </c>
      <c r="B107" s="2" t="s">
        <v>17</v>
      </c>
      <c r="C107" s="4">
        <v>2025.0</v>
      </c>
      <c r="D107" s="4">
        <v>5.0</v>
      </c>
      <c r="E107" s="3">
        <v>46134.0</v>
      </c>
      <c r="F107" s="4">
        <v>1.0</v>
      </c>
      <c r="G107" s="2" t="s">
        <v>607</v>
      </c>
      <c r="H107" s="5" t="s">
        <v>1224</v>
      </c>
      <c r="I107" s="2" t="s">
        <v>1225</v>
      </c>
      <c r="J107" s="5">
        <v>3.42E7</v>
      </c>
      <c r="K107" s="4" t="s">
        <v>945</v>
      </c>
      <c r="L107" s="3">
        <v>46183.42285879629</v>
      </c>
      <c r="M107" s="2" t="s">
        <v>946</v>
      </c>
      <c r="N107" s="29"/>
      <c r="O107" s="29"/>
      <c r="S107" s="30"/>
      <c r="T107" s="30"/>
    </row>
    <row r="108">
      <c r="A108" s="2" t="s">
        <v>1226</v>
      </c>
      <c r="B108" s="2" t="s">
        <v>17</v>
      </c>
      <c r="C108" s="4">
        <v>2025.0</v>
      </c>
      <c r="D108" s="4">
        <v>5.0</v>
      </c>
      <c r="E108" s="3">
        <v>46134.0</v>
      </c>
      <c r="F108" s="4">
        <v>1.0</v>
      </c>
      <c r="G108" s="2" t="s">
        <v>607</v>
      </c>
      <c r="H108" s="5" t="s">
        <v>197</v>
      </c>
      <c r="I108" s="2" t="s">
        <v>1227</v>
      </c>
      <c r="J108" s="5">
        <v>2375000.0</v>
      </c>
      <c r="K108" s="4" t="s">
        <v>945</v>
      </c>
      <c r="L108" s="3">
        <v>46183.42285879629</v>
      </c>
      <c r="M108" s="2" t="s">
        <v>946</v>
      </c>
      <c r="N108" s="29"/>
      <c r="O108" s="29"/>
      <c r="S108" s="30"/>
      <c r="T108" s="30"/>
    </row>
    <row r="109">
      <c r="A109" s="2" t="s">
        <v>1228</v>
      </c>
      <c r="B109" s="2" t="s">
        <v>17</v>
      </c>
      <c r="C109" s="4">
        <v>2025.0</v>
      </c>
      <c r="D109" s="4">
        <v>5.0</v>
      </c>
      <c r="E109" s="3">
        <v>46134.0</v>
      </c>
      <c r="F109" s="4">
        <v>1.0</v>
      </c>
      <c r="G109" s="2" t="s">
        <v>607</v>
      </c>
      <c r="H109" s="5" t="s">
        <v>275</v>
      </c>
      <c r="J109" s="5">
        <v>350000.0</v>
      </c>
      <c r="K109" s="4" t="s">
        <v>945</v>
      </c>
      <c r="L109" s="3">
        <v>46183.42285879629</v>
      </c>
      <c r="M109" s="2" t="s">
        <v>946</v>
      </c>
      <c r="N109" s="29"/>
      <c r="O109" s="29"/>
      <c r="S109" s="30"/>
      <c r="T109" s="30"/>
    </row>
    <row r="110">
      <c r="A110" s="2" t="s">
        <v>1229</v>
      </c>
      <c r="B110" s="2" t="s">
        <v>17</v>
      </c>
      <c r="C110" s="4">
        <v>2025.0</v>
      </c>
      <c r="D110" s="4">
        <v>5.0</v>
      </c>
      <c r="E110" s="3">
        <v>46134.0</v>
      </c>
      <c r="F110" s="4">
        <v>1.0</v>
      </c>
      <c r="G110" s="2" t="s">
        <v>607</v>
      </c>
      <c r="H110" s="5" t="s">
        <v>1230</v>
      </c>
      <c r="J110" s="5">
        <v>10000.0</v>
      </c>
      <c r="K110" s="4" t="s">
        <v>945</v>
      </c>
      <c r="L110" s="3">
        <v>46183.42285879629</v>
      </c>
      <c r="M110" s="2" t="s">
        <v>946</v>
      </c>
      <c r="N110" s="29"/>
      <c r="O110" s="29"/>
      <c r="S110" s="30"/>
      <c r="T110" s="30"/>
    </row>
    <row r="111">
      <c r="A111" s="2" t="s">
        <v>1231</v>
      </c>
      <c r="B111" s="2" t="s">
        <v>17</v>
      </c>
      <c r="C111" s="4">
        <v>2025.0</v>
      </c>
      <c r="D111" s="4">
        <v>5.0</v>
      </c>
      <c r="E111" s="3">
        <v>46134.0</v>
      </c>
      <c r="F111" s="4">
        <v>1.0</v>
      </c>
      <c r="G111" s="2" t="s">
        <v>613</v>
      </c>
      <c r="H111" s="5" t="s">
        <v>413</v>
      </c>
      <c r="J111" s="5">
        <v>110000.0</v>
      </c>
      <c r="K111" s="4" t="s">
        <v>945</v>
      </c>
      <c r="L111" s="3">
        <v>46183.42285879629</v>
      </c>
      <c r="M111" s="2" t="s">
        <v>946</v>
      </c>
      <c r="N111" s="29"/>
      <c r="O111" s="29"/>
      <c r="S111" s="30"/>
      <c r="T111" s="30"/>
    </row>
    <row r="112">
      <c r="A112" s="2" t="s">
        <v>1232</v>
      </c>
      <c r="B112" s="2" t="s">
        <v>17</v>
      </c>
      <c r="C112" s="4">
        <v>2025.0</v>
      </c>
      <c r="D112" s="4">
        <v>5.0</v>
      </c>
      <c r="E112" s="3">
        <v>46134.0</v>
      </c>
      <c r="F112" s="4">
        <v>1.0</v>
      </c>
      <c r="G112" s="2" t="s">
        <v>613</v>
      </c>
      <c r="H112" s="5" t="s">
        <v>1194</v>
      </c>
      <c r="J112" s="5">
        <v>2250000.0</v>
      </c>
      <c r="K112" s="4" t="s">
        <v>945</v>
      </c>
      <c r="L112" s="3">
        <v>46183.42285879629</v>
      </c>
      <c r="M112" s="2" t="s">
        <v>946</v>
      </c>
      <c r="N112" s="29"/>
      <c r="O112" s="29"/>
      <c r="S112" s="30"/>
      <c r="T112" s="30"/>
    </row>
    <row r="113">
      <c r="A113" s="2" t="s">
        <v>1233</v>
      </c>
      <c r="B113" s="2" t="s">
        <v>17</v>
      </c>
      <c r="C113" s="4">
        <v>2025.0</v>
      </c>
      <c r="D113" s="4">
        <v>5.0</v>
      </c>
      <c r="E113" s="3">
        <v>46134.0</v>
      </c>
      <c r="F113" s="4">
        <v>1.0</v>
      </c>
      <c r="G113" s="2" t="s">
        <v>613</v>
      </c>
      <c r="H113" s="5" t="s">
        <v>1234</v>
      </c>
      <c r="J113" s="5">
        <v>1000000.0</v>
      </c>
      <c r="K113" s="4" t="s">
        <v>945</v>
      </c>
      <c r="L113" s="3">
        <v>46183.42285879629</v>
      </c>
      <c r="M113" s="2" t="s">
        <v>946</v>
      </c>
      <c r="N113" s="29"/>
      <c r="O113" s="29"/>
      <c r="S113" s="30"/>
      <c r="T113" s="30"/>
    </row>
    <row r="114">
      <c r="A114" s="2" t="s">
        <v>1235</v>
      </c>
      <c r="B114" s="2" t="s">
        <v>17</v>
      </c>
      <c r="C114" s="4">
        <v>2025.0</v>
      </c>
      <c r="D114" s="4">
        <v>5.0</v>
      </c>
      <c r="E114" s="3">
        <v>46134.0</v>
      </c>
      <c r="F114" s="4">
        <v>1.0</v>
      </c>
      <c r="G114" s="2" t="s">
        <v>613</v>
      </c>
      <c r="H114" s="5" t="s">
        <v>211</v>
      </c>
      <c r="J114" s="5">
        <v>1084000.0</v>
      </c>
      <c r="K114" s="4" t="s">
        <v>945</v>
      </c>
      <c r="L114" s="3">
        <v>46183.42285879629</v>
      </c>
      <c r="M114" s="2" t="s">
        <v>946</v>
      </c>
      <c r="N114" s="29"/>
      <c r="O114" s="29"/>
      <c r="S114" s="30"/>
      <c r="T114" s="30"/>
    </row>
    <row r="115">
      <c r="A115" s="2" t="s">
        <v>1236</v>
      </c>
      <c r="B115" s="2" t="s">
        <v>17</v>
      </c>
      <c r="C115" s="4">
        <v>2025.0</v>
      </c>
      <c r="D115" s="4">
        <v>5.0</v>
      </c>
      <c r="E115" s="3">
        <v>46134.0</v>
      </c>
      <c r="F115" s="4">
        <v>1.0</v>
      </c>
      <c r="G115" s="2" t="s">
        <v>613</v>
      </c>
      <c r="H115" s="5" t="s">
        <v>235</v>
      </c>
      <c r="J115" s="5">
        <v>600000.0</v>
      </c>
      <c r="K115" s="4" t="s">
        <v>945</v>
      </c>
      <c r="L115" s="3">
        <v>46183.42285879629</v>
      </c>
      <c r="M115" s="2" t="s">
        <v>946</v>
      </c>
      <c r="N115" s="29"/>
      <c r="O115" s="29"/>
      <c r="S115" s="30"/>
      <c r="T115" s="30"/>
    </row>
    <row r="116">
      <c r="A116" s="2" t="s">
        <v>1237</v>
      </c>
      <c r="B116" s="2" t="s">
        <v>17</v>
      </c>
      <c r="C116" s="4">
        <v>2025.0</v>
      </c>
      <c r="D116" s="4">
        <v>5.0</v>
      </c>
      <c r="E116" s="3">
        <v>46134.0</v>
      </c>
      <c r="F116" s="4">
        <v>1.0</v>
      </c>
      <c r="G116" s="2" t="s">
        <v>613</v>
      </c>
      <c r="H116" s="5" t="s">
        <v>1238</v>
      </c>
      <c r="J116" s="5">
        <v>75000.0</v>
      </c>
      <c r="K116" s="4" t="s">
        <v>945</v>
      </c>
      <c r="L116" s="3">
        <v>46183.42285879629</v>
      </c>
      <c r="M116" s="2" t="s">
        <v>946</v>
      </c>
      <c r="N116" s="29"/>
      <c r="O116" s="29"/>
      <c r="S116" s="30"/>
      <c r="T116" s="30"/>
    </row>
    <row r="117">
      <c r="A117" s="2" t="s">
        <v>1239</v>
      </c>
      <c r="B117" s="2" t="s">
        <v>17</v>
      </c>
      <c r="C117" s="4">
        <v>2025.0</v>
      </c>
      <c r="D117" s="4">
        <v>5.0</v>
      </c>
      <c r="E117" s="3">
        <v>46148.0</v>
      </c>
      <c r="F117" s="4">
        <v>2.0</v>
      </c>
      <c r="G117" s="2" t="s">
        <v>602</v>
      </c>
      <c r="H117" s="5" t="s">
        <v>169</v>
      </c>
      <c r="I117" s="2" t="s">
        <v>1240</v>
      </c>
      <c r="J117" s="5">
        <v>1745300.0</v>
      </c>
      <c r="K117" s="4" t="s">
        <v>945</v>
      </c>
      <c r="L117" s="3">
        <v>46183.42285879629</v>
      </c>
      <c r="M117" s="2" t="s">
        <v>946</v>
      </c>
      <c r="N117" s="29"/>
      <c r="O117" s="29"/>
      <c r="S117" s="30"/>
      <c r="T117" s="30"/>
    </row>
    <row r="118">
      <c r="A118" s="2" t="s">
        <v>1241</v>
      </c>
      <c r="B118" s="2" t="s">
        <v>17</v>
      </c>
      <c r="C118" s="4">
        <v>2025.0</v>
      </c>
      <c r="D118" s="4">
        <v>5.0</v>
      </c>
      <c r="E118" s="3">
        <v>46148.0</v>
      </c>
      <c r="F118" s="4">
        <v>2.0</v>
      </c>
      <c r="G118" s="2" t="s">
        <v>602</v>
      </c>
      <c r="H118" s="5" t="s">
        <v>176</v>
      </c>
      <c r="I118" s="2" t="s">
        <v>1242</v>
      </c>
      <c r="J118" s="5">
        <v>3306850.0</v>
      </c>
      <c r="K118" s="4" t="s">
        <v>945</v>
      </c>
      <c r="L118" s="3">
        <v>46183.42285879629</v>
      </c>
      <c r="M118" s="2" t="s">
        <v>946</v>
      </c>
      <c r="N118" s="29"/>
      <c r="O118" s="29"/>
      <c r="S118" s="30"/>
      <c r="T118" s="30"/>
    </row>
    <row r="119">
      <c r="A119" s="2" t="s">
        <v>1243</v>
      </c>
      <c r="B119" s="2" t="s">
        <v>17</v>
      </c>
      <c r="C119" s="4">
        <v>2025.0</v>
      </c>
      <c r="D119" s="4">
        <v>5.0</v>
      </c>
      <c r="E119" s="3">
        <v>46148.0</v>
      </c>
      <c r="F119" s="4">
        <v>2.0</v>
      </c>
      <c r="G119" s="2" t="s">
        <v>602</v>
      </c>
      <c r="H119" s="5" t="s">
        <v>183</v>
      </c>
      <c r="J119" s="5">
        <v>500000.0</v>
      </c>
      <c r="K119" s="4" t="s">
        <v>945</v>
      </c>
      <c r="L119" s="3">
        <v>46183.42285879629</v>
      </c>
      <c r="M119" s="2" t="s">
        <v>946</v>
      </c>
      <c r="N119" s="29"/>
      <c r="O119" s="29"/>
      <c r="S119" s="30"/>
      <c r="T119" s="30"/>
    </row>
    <row r="120">
      <c r="A120" s="2" t="s">
        <v>1244</v>
      </c>
      <c r="B120" s="2" t="s">
        <v>17</v>
      </c>
      <c r="C120" s="4">
        <v>2025.0</v>
      </c>
      <c r="D120" s="4">
        <v>5.0</v>
      </c>
      <c r="E120" s="3">
        <v>46148.0</v>
      </c>
      <c r="F120" s="4">
        <v>2.0</v>
      </c>
      <c r="G120" s="2" t="s">
        <v>602</v>
      </c>
      <c r="H120" s="5" t="s">
        <v>188</v>
      </c>
      <c r="J120" s="5">
        <v>150000.0</v>
      </c>
      <c r="K120" s="4" t="s">
        <v>945</v>
      </c>
      <c r="L120" s="3">
        <v>46183.42285879629</v>
      </c>
      <c r="M120" s="2" t="s">
        <v>946</v>
      </c>
      <c r="N120" s="29"/>
      <c r="O120" s="29"/>
      <c r="S120" s="30"/>
      <c r="T120" s="30"/>
    </row>
    <row r="121">
      <c r="A121" s="2" t="s">
        <v>1245</v>
      </c>
      <c r="B121" s="2" t="s">
        <v>17</v>
      </c>
      <c r="C121" s="4">
        <v>2025.0</v>
      </c>
      <c r="D121" s="4">
        <v>5.0</v>
      </c>
      <c r="E121" s="3">
        <v>46148.0</v>
      </c>
      <c r="F121" s="4">
        <v>2.0</v>
      </c>
      <c r="G121" s="2" t="s">
        <v>613</v>
      </c>
      <c r="H121" s="5" t="s">
        <v>1246</v>
      </c>
      <c r="J121" s="5">
        <v>1070000.0</v>
      </c>
      <c r="K121" s="4" t="s">
        <v>945</v>
      </c>
      <c r="L121" s="3">
        <v>46183.42285879629</v>
      </c>
      <c r="M121" s="2" t="s">
        <v>946</v>
      </c>
      <c r="N121" s="29"/>
      <c r="O121" s="29"/>
      <c r="S121" s="30"/>
      <c r="T121" s="30"/>
    </row>
    <row r="122">
      <c r="A122" s="2" t="s">
        <v>1247</v>
      </c>
      <c r="B122" s="2" t="s">
        <v>17</v>
      </c>
      <c r="C122" s="4">
        <v>2025.0</v>
      </c>
      <c r="D122" s="4">
        <v>5.0</v>
      </c>
      <c r="E122" s="3">
        <v>46148.0</v>
      </c>
      <c r="F122" s="4">
        <v>2.0</v>
      </c>
      <c r="G122" s="2" t="s">
        <v>613</v>
      </c>
      <c r="H122" s="5" t="s">
        <v>1248</v>
      </c>
      <c r="J122" s="5">
        <v>180000.0</v>
      </c>
      <c r="K122" s="4" t="s">
        <v>945</v>
      </c>
      <c r="L122" s="3">
        <v>46183.42285879629</v>
      </c>
      <c r="M122" s="2" t="s">
        <v>946</v>
      </c>
      <c r="N122" s="29"/>
      <c r="O122" s="29"/>
      <c r="S122" s="30"/>
      <c r="T122" s="30"/>
    </row>
    <row r="123">
      <c r="A123" s="2" t="s">
        <v>1249</v>
      </c>
      <c r="B123" s="2" t="s">
        <v>17</v>
      </c>
      <c r="C123" s="4">
        <v>2025.0</v>
      </c>
      <c r="D123" s="4">
        <v>5.0</v>
      </c>
      <c r="E123" s="3">
        <v>46148.0</v>
      </c>
      <c r="F123" s="4">
        <v>2.0</v>
      </c>
      <c r="G123" s="2" t="s">
        <v>237</v>
      </c>
      <c r="H123" s="5" t="s">
        <v>237</v>
      </c>
      <c r="I123" s="2" t="s">
        <v>1250</v>
      </c>
      <c r="J123" s="5">
        <v>2.05E7</v>
      </c>
      <c r="K123" s="4" t="s">
        <v>945</v>
      </c>
      <c r="L123" s="3">
        <v>46183.42285879629</v>
      </c>
      <c r="M123" s="2" t="s">
        <v>946</v>
      </c>
      <c r="N123" s="29"/>
      <c r="O123" s="29"/>
      <c r="S123" s="30"/>
      <c r="T123" s="30"/>
    </row>
    <row r="124">
      <c r="A124" s="2" t="s">
        <v>1251</v>
      </c>
      <c r="B124" s="2" t="s">
        <v>17</v>
      </c>
      <c r="C124" s="4">
        <v>2025.0</v>
      </c>
      <c r="D124" s="4">
        <v>5.0</v>
      </c>
      <c r="E124" s="3">
        <v>46148.0</v>
      </c>
      <c r="F124" s="4">
        <v>2.0</v>
      </c>
      <c r="G124" s="2" t="s">
        <v>613</v>
      </c>
      <c r="H124" s="5" t="s">
        <v>1252</v>
      </c>
      <c r="J124" s="5">
        <v>6450000.0</v>
      </c>
      <c r="K124" s="4" t="s">
        <v>945</v>
      </c>
      <c r="L124" s="3">
        <v>46183.42285879629</v>
      </c>
      <c r="M124" s="2" t="s">
        <v>946</v>
      </c>
      <c r="N124" s="29"/>
      <c r="O124" s="29"/>
      <c r="S124" s="30"/>
      <c r="T124" s="30"/>
    </row>
    <row r="125">
      <c r="A125" s="2" t="s">
        <v>1253</v>
      </c>
      <c r="B125" s="2" t="s">
        <v>17</v>
      </c>
      <c r="C125" s="4">
        <v>2025.0</v>
      </c>
      <c r="D125" s="4">
        <v>5.0</v>
      </c>
      <c r="E125" s="3">
        <v>46148.0</v>
      </c>
      <c r="F125" s="4">
        <v>2.0</v>
      </c>
      <c r="G125" s="2" t="s">
        <v>793</v>
      </c>
      <c r="H125" s="5" t="s">
        <v>793</v>
      </c>
      <c r="J125" s="5">
        <v>2.32E7</v>
      </c>
      <c r="K125" s="4" t="s">
        <v>945</v>
      </c>
      <c r="L125" s="3">
        <v>46183.42285879629</v>
      </c>
      <c r="M125" s="2" t="s">
        <v>946</v>
      </c>
      <c r="N125" s="29"/>
      <c r="O125" s="29"/>
      <c r="S125" s="30"/>
      <c r="T125" s="30"/>
    </row>
    <row r="126">
      <c r="A126" s="2" t="s">
        <v>1254</v>
      </c>
      <c r="B126" s="2" t="s">
        <v>17</v>
      </c>
      <c r="C126" s="4">
        <v>2025.0</v>
      </c>
      <c r="D126" s="4">
        <v>5.0</v>
      </c>
      <c r="E126" s="3">
        <v>46148.0</v>
      </c>
      <c r="F126" s="4">
        <v>2.0</v>
      </c>
      <c r="G126" s="2" t="s">
        <v>1156</v>
      </c>
      <c r="H126" s="5" t="s">
        <v>938</v>
      </c>
      <c r="J126" s="5">
        <v>1680000.0</v>
      </c>
      <c r="K126" s="4" t="s">
        <v>945</v>
      </c>
      <c r="L126" s="3">
        <v>46183.42285879629</v>
      </c>
      <c r="M126" s="2" t="s">
        <v>946</v>
      </c>
      <c r="N126" s="29"/>
      <c r="O126" s="29"/>
      <c r="S126" s="30"/>
      <c r="T126" s="30"/>
    </row>
    <row r="127">
      <c r="A127" s="2" t="s">
        <v>1255</v>
      </c>
      <c r="B127" s="2" t="s">
        <v>17</v>
      </c>
      <c r="C127" s="4">
        <v>2025.0</v>
      </c>
      <c r="D127" s="4">
        <v>5.0</v>
      </c>
      <c r="E127" s="3">
        <v>46148.0</v>
      </c>
      <c r="F127" s="4">
        <v>2.0</v>
      </c>
      <c r="G127" s="2" t="s">
        <v>626</v>
      </c>
      <c r="H127" s="5" t="s">
        <v>239</v>
      </c>
      <c r="J127" s="5">
        <v>5925000.0</v>
      </c>
      <c r="K127" s="4" t="s">
        <v>945</v>
      </c>
      <c r="L127" s="3">
        <v>46183.42285879629</v>
      </c>
      <c r="M127" s="2" t="s">
        <v>946</v>
      </c>
      <c r="N127" s="29"/>
      <c r="O127" s="29"/>
      <c r="S127" s="30"/>
      <c r="T127" s="30"/>
    </row>
    <row r="128">
      <c r="A128" s="2" t="s">
        <v>1256</v>
      </c>
      <c r="B128" s="2" t="s">
        <v>17</v>
      </c>
      <c r="C128" s="4">
        <v>2025.0</v>
      </c>
      <c r="D128" s="4">
        <v>5.0</v>
      </c>
      <c r="E128" s="3">
        <v>46148.0</v>
      </c>
      <c r="F128" s="4">
        <v>2.0</v>
      </c>
      <c r="G128" s="2" t="s">
        <v>626</v>
      </c>
      <c r="H128" s="5" t="s">
        <v>248</v>
      </c>
      <c r="J128" s="5">
        <v>1220000.0</v>
      </c>
      <c r="K128" s="4" t="s">
        <v>945</v>
      </c>
      <c r="L128" s="3">
        <v>46183.42285879629</v>
      </c>
      <c r="M128" s="2" t="s">
        <v>946</v>
      </c>
      <c r="N128" s="29"/>
      <c r="O128" s="29"/>
      <c r="S128" s="30"/>
      <c r="T128" s="30"/>
    </row>
    <row r="129">
      <c r="A129" s="2" t="s">
        <v>1257</v>
      </c>
      <c r="B129" s="2" t="s">
        <v>17</v>
      </c>
      <c r="C129" s="4">
        <v>2025.0</v>
      </c>
      <c r="D129" s="4">
        <v>5.0</v>
      </c>
      <c r="E129" s="3">
        <v>46148.0</v>
      </c>
      <c r="F129" s="4">
        <v>2.0</v>
      </c>
      <c r="G129" s="2" t="s">
        <v>613</v>
      </c>
      <c r="H129" s="5" t="s">
        <v>935</v>
      </c>
      <c r="J129" s="5">
        <v>865000.0</v>
      </c>
      <c r="K129" s="4" t="s">
        <v>945</v>
      </c>
      <c r="L129" s="3">
        <v>46183.42285879629</v>
      </c>
      <c r="M129" s="2" t="s">
        <v>946</v>
      </c>
      <c r="N129" s="29"/>
      <c r="O129" s="29"/>
      <c r="S129" s="30"/>
      <c r="T129" s="30"/>
    </row>
    <row r="130">
      <c r="A130" s="2" t="s">
        <v>1258</v>
      </c>
      <c r="B130" s="2" t="s">
        <v>17</v>
      </c>
      <c r="C130" s="4">
        <v>2025.0</v>
      </c>
      <c r="D130" s="4">
        <v>5.0</v>
      </c>
      <c r="E130" s="3">
        <v>46148.0</v>
      </c>
      <c r="F130" s="4">
        <v>2.0</v>
      </c>
      <c r="G130" s="2" t="s">
        <v>613</v>
      </c>
      <c r="H130" s="5" t="s">
        <v>233</v>
      </c>
      <c r="J130" s="5">
        <v>4500000.0</v>
      </c>
      <c r="K130" s="4" t="s">
        <v>945</v>
      </c>
      <c r="L130" s="3">
        <v>46183.42285879629</v>
      </c>
      <c r="M130" s="2" t="s">
        <v>946</v>
      </c>
      <c r="N130" s="29"/>
      <c r="O130" s="29"/>
      <c r="S130" s="30"/>
      <c r="T130" s="30"/>
    </row>
    <row r="131">
      <c r="A131" s="2" t="s">
        <v>1259</v>
      </c>
      <c r="B131" s="2" t="s">
        <v>17</v>
      </c>
      <c r="C131" s="4">
        <v>2025.0</v>
      </c>
      <c r="D131" s="4">
        <v>6.0</v>
      </c>
      <c r="E131" s="3">
        <v>46187.0</v>
      </c>
      <c r="F131" s="4">
        <v>1.0</v>
      </c>
      <c r="G131" s="2" t="s">
        <v>602</v>
      </c>
      <c r="H131" s="5" t="s">
        <v>169</v>
      </c>
      <c r="I131" s="2" t="s">
        <v>1260</v>
      </c>
      <c r="J131" s="5">
        <v>1648900.0</v>
      </c>
      <c r="K131" s="4" t="s">
        <v>945</v>
      </c>
      <c r="L131" s="3">
        <v>46183.42285879629</v>
      </c>
      <c r="M131" s="2" t="s">
        <v>946</v>
      </c>
      <c r="N131" s="29"/>
      <c r="O131" s="29"/>
      <c r="S131" s="30"/>
      <c r="T131" s="30"/>
    </row>
    <row r="132">
      <c r="A132" s="2" t="s">
        <v>1261</v>
      </c>
      <c r="B132" s="2" t="s">
        <v>17</v>
      </c>
      <c r="C132" s="4">
        <v>2025.0</v>
      </c>
      <c r="D132" s="4">
        <v>6.0</v>
      </c>
      <c r="E132" s="3">
        <v>46187.0</v>
      </c>
      <c r="F132" s="4">
        <v>1.0</v>
      </c>
      <c r="G132" s="2" t="s">
        <v>602</v>
      </c>
      <c r="H132" s="5" t="s">
        <v>176</v>
      </c>
      <c r="I132" s="2" t="s">
        <v>1262</v>
      </c>
      <c r="J132" s="5">
        <v>3371960.0</v>
      </c>
      <c r="K132" s="4" t="s">
        <v>945</v>
      </c>
      <c r="L132" s="3">
        <v>46183.42285879629</v>
      </c>
      <c r="M132" s="2" t="s">
        <v>946</v>
      </c>
      <c r="N132" s="29"/>
      <c r="O132" s="29"/>
      <c r="S132" s="30"/>
      <c r="T132" s="30"/>
    </row>
    <row r="133">
      <c r="A133" s="2" t="s">
        <v>1263</v>
      </c>
      <c r="B133" s="2" t="s">
        <v>17</v>
      </c>
      <c r="C133" s="4">
        <v>2025.0</v>
      </c>
      <c r="D133" s="4">
        <v>6.0</v>
      </c>
      <c r="E133" s="3">
        <v>46187.0</v>
      </c>
      <c r="F133" s="4">
        <v>1.0</v>
      </c>
      <c r="G133" s="2" t="s">
        <v>602</v>
      </c>
      <c r="H133" s="5" t="s">
        <v>183</v>
      </c>
      <c r="J133" s="5">
        <v>500000.0</v>
      </c>
      <c r="K133" s="4" t="s">
        <v>945</v>
      </c>
      <c r="L133" s="3">
        <v>46183.42285879629</v>
      </c>
      <c r="M133" s="2" t="s">
        <v>946</v>
      </c>
      <c r="N133" s="29"/>
      <c r="O133" s="29"/>
      <c r="S133" s="30"/>
      <c r="T133" s="30"/>
    </row>
    <row r="134">
      <c r="A134" s="2" t="s">
        <v>1264</v>
      </c>
      <c r="B134" s="2" t="s">
        <v>17</v>
      </c>
      <c r="C134" s="4">
        <v>2025.0</v>
      </c>
      <c r="D134" s="4">
        <v>6.0</v>
      </c>
      <c r="E134" s="3">
        <v>46187.0</v>
      </c>
      <c r="F134" s="4">
        <v>1.0</v>
      </c>
      <c r="G134" s="2" t="s">
        <v>602</v>
      </c>
      <c r="H134" s="5" t="s">
        <v>188</v>
      </c>
      <c r="J134" s="5">
        <v>150000.0</v>
      </c>
      <c r="K134" s="4" t="s">
        <v>945</v>
      </c>
      <c r="L134" s="3">
        <v>46183.42285879629</v>
      </c>
      <c r="M134" s="2" t="s">
        <v>946</v>
      </c>
      <c r="N134" s="29"/>
      <c r="O134" s="29"/>
      <c r="S134" s="30"/>
      <c r="T134" s="30"/>
    </row>
    <row r="135">
      <c r="A135" s="2" t="s">
        <v>1265</v>
      </c>
      <c r="B135" s="2" t="s">
        <v>17</v>
      </c>
      <c r="C135" s="4">
        <v>2025.0</v>
      </c>
      <c r="D135" s="4">
        <v>6.0</v>
      </c>
      <c r="E135" s="3">
        <v>46187.0</v>
      </c>
      <c r="F135" s="4">
        <v>1.0</v>
      </c>
      <c r="G135" s="2" t="s">
        <v>237</v>
      </c>
      <c r="H135" s="5" t="s">
        <v>237</v>
      </c>
      <c r="I135" s="2" t="s">
        <v>1266</v>
      </c>
      <c r="J135" s="5">
        <v>3.0E7</v>
      </c>
      <c r="K135" s="4" t="s">
        <v>945</v>
      </c>
      <c r="L135" s="3">
        <v>46183.42285879629</v>
      </c>
      <c r="M135" s="2" t="s">
        <v>946</v>
      </c>
      <c r="N135" s="29"/>
      <c r="O135" s="29"/>
      <c r="S135" s="30"/>
      <c r="T135" s="30"/>
    </row>
    <row r="136">
      <c r="A136" s="2" t="s">
        <v>1267</v>
      </c>
      <c r="B136" s="2" t="s">
        <v>17</v>
      </c>
      <c r="C136" s="4">
        <v>2025.0</v>
      </c>
      <c r="D136" s="4">
        <v>6.0</v>
      </c>
      <c r="E136" s="3">
        <v>46187.0</v>
      </c>
      <c r="F136" s="4">
        <v>1.0</v>
      </c>
      <c r="G136" s="2" t="s">
        <v>613</v>
      </c>
      <c r="H136" s="5" t="s">
        <v>211</v>
      </c>
      <c r="J136" s="5">
        <v>1131000.0</v>
      </c>
      <c r="K136" s="4" t="s">
        <v>945</v>
      </c>
      <c r="L136" s="3">
        <v>46183.42285879629</v>
      </c>
      <c r="M136" s="2" t="s">
        <v>946</v>
      </c>
      <c r="N136" s="29"/>
      <c r="O136" s="29"/>
      <c r="S136" s="30"/>
      <c r="T136" s="30"/>
    </row>
    <row r="137">
      <c r="A137" s="2" t="s">
        <v>1268</v>
      </c>
      <c r="B137" s="2" t="s">
        <v>17</v>
      </c>
      <c r="C137" s="4">
        <v>2025.0</v>
      </c>
      <c r="D137" s="4">
        <v>6.0</v>
      </c>
      <c r="E137" s="3">
        <v>46187.0</v>
      </c>
      <c r="F137" s="4">
        <v>1.0</v>
      </c>
      <c r="G137" s="2" t="s">
        <v>1156</v>
      </c>
      <c r="H137" s="5" t="s">
        <v>938</v>
      </c>
      <c r="J137" s="5">
        <v>1.65E7</v>
      </c>
      <c r="K137" s="4" t="s">
        <v>945</v>
      </c>
      <c r="L137" s="3">
        <v>46183.42285879629</v>
      </c>
      <c r="M137" s="2" t="s">
        <v>946</v>
      </c>
      <c r="N137" s="29"/>
      <c r="O137" s="29"/>
      <c r="S137" s="30"/>
      <c r="T137" s="30"/>
    </row>
    <row r="138">
      <c r="A138" s="2" t="s">
        <v>1269</v>
      </c>
      <c r="B138" s="2" t="s">
        <v>17</v>
      </c>
      <c r="C138" s="4">
        <v>2025.0</v>
      </c>
      <c r="D138" s="4">
        <v>6.0</v>
      </c>
      <c r="E138" s="3">
        <v>46187.0</v>
      </c>
      <c r="F138" s="4">
        <v>1.0</v>
      </c>
      <c r="G138" s="2" t="s">
        <v>613</v>
      </c>
      <c r="H138" s="5" t="s">
        <v>1090</v>
      </c>
      <c r="J138" s="5">
        <v>200000.0</v>
      </c>
      <c r="K138" s="4" t="s">
        <v>945</v>
      </c>
      <c r="L138" s="3">
        <v>46183.42285879629</v>
      </c>
      <c r="M138" s="2" t="s">
        <v>946</v>
      </c>
      <c r="N138" s="29"/>
      <c r="O138" s="29"/>
      <c r="S138" s="30"/>
      <c r="T138" s="30"/>
    </row>
    <row r="139">
      <c r="A139" s="2" t="s">
        <v>1270</v>
      </c>
      <c r="B139" s="2" t="s">
        <v>17</v>
      </c>
      <c r="C139" s="4">
        <v>2025.0</v>
      </c>
      <c r="D139" s="4">
        <v>6.0</v>
      </c>
      <c r="E139" s="3">
        <v>46201.0</v>
      </c>
      <c r="F139" s="4">
        <v>2.0</v>
      </c>
      <c r="G139" s="2" t="s">
        <v>602</v>
      </c>
      <c r="H139" s="5" t="s">
        <v>169</v>
      </c>
      <c r="I139" s="2" t="s">
        <v>1271</v>
      </c>
      <c r="J139" s="5">
        <v>1793900.0</v>
      </c>
      <c r="K139" s="4" t="s">
        <v>945</v>
      </c>
      <c r="L139" s="3">
        <v>46183.42285879629</v>
      </c>
      <c r="M139" s="2" t="s">
        <v>946</v>
      </c>
      <c r="N139" s="29"/>
      <c r="O139" s="29"/>
      <c r="S139" s="30"/>
      <c r="T139" s="30"/>
    </row>
    <row r="140">
      <c r="A140" s="2" t="s">
        <v>1272</v>
      </c>
      <c r="B140" s="2" t="s">
        <v>17</v>
      </c>
      <c r="C140" s="4">
        <v>2025.0</v>
      </c>
      <c r="D140" s="4">
        <v>6.0</v>
      </c>
      <c r="E140" s="3">
        <v>46201.0</v>
      </c>
      <c r="F140" s="4">
        <v>2.0</v>
      </c>
      <c r="G140" s="2" t="s">
        <v>602</v>
      </c>
      <c r="H140" s="5" t="s">
        <v>176</v>
      </c>
      <c r="I140" s="2" t="s">
        <v>1273</v>
      </c>
      <c r="J140" s="5">
        <v>3338130.0</v>
      </c>
      <c r="K140" s="4" t="s">
        <v>945</v>
      </c>
      <c r="L140" s="3">
        <v>46183.42285879629</v>
      </c>
      <c r="M140" s="2" t="s">
        <v>946</v>
      </c>
      <c r="N140" s="29"/>
      <c r="O140" s="29"/>
      <c r="S140" s="30"/>
      <c r="T140" s="30"/>
    </row>
    <row r="141">
      <c r="A141" s="2" t="s">
        <v>1274</v>
      </c>
      <c r="B141" s="2" t="s">
        <v>17</v>
      </c>
      <c r="C141" s="4">
        <v>2025.0</v>
      </c>
      <c r="D141" s="4">
        <v>6.0</v>
      </c>
      <c r="E141" s="3">
        <v>46201.0</v>
      </c>
      <c r="F141" s="4">
        <v>2.0</v>
      </c>
      <c r="G141" s="2" t="s">
        <v>602</v>
      </c>
      <c r="H141" s="5" t="s">
        <v>183</v>
      </c>
      <c r="J141" s="5">
        <v>500000.0</v>
      </c>
      <c r="K141" s="4" t="s">
        <v>945</v>
      </c>
      <c r="L141" s="3">
        <v>46183.42285879629</v>
      </c>
      <c r="M141" s="2" t="s">
        <v>946</v>
      </c>
      <c r="N141" s="29"/>
      <c r="O141" s="29"/>
      <c r="S141" s="30"/>
      <c r="T141" s="30"/>
    </row>
    <row r="142">
      <c r="A142" s="2" t="s">
        <v>1275</v>
      </c>
      <c r="B142" s="2" t="s">
        <v>17</v>
      </c>
      <c r="C142" s="4">
        <v>2025.0</v>
      </c>
      <c r="D142" s="4">
        <v>6.0</v>
      </c>
      <c r="E142" s="3">
        <v>46201.0</v>
      </c>
      <c r="F142" s="4">
        <v>2.0</v>
      </c>
      <c r="G142" s="2" t="s">
        <v>602</v>
      </c>
      <c r="H142" s="5" t="s">
        <v>188</v>
      </c>
      <c r="J142" s="5">
        <v>150000.0</v>
      </c>
      <c r="K142" s="4" t="s">
        <v>945</v>
      </c>
      <c r="L142" s="3">
        <v>46183.42285879629</v>
      </c>
      <c r="M142" s="2" t="s">
        <v>946</v>
      </c>
      <c r="N142" s="29"/>
      <c r="O142" s="29"/>
      <c r="S142" s="30"/>
      <c r="T142" s="30"/>
    </row>
    <row r="143">
      <c r="A143" s="2" t="s">
        <v>1276</v>
      </c>
      <c r="B143" s="2" t="s">
        <v>17</v>
      </c>
      <c r="C143" s="4">
        <v>2025.0</v>
      </c>
      <c r="D143" s="4">
        <v>6.0</v>
      </c>
      <c r="E143" s="3">
        <v>46201.0</v>
      </c>
      <c r="F143" s="4">
        <v>2.0</v>
      </c>
      <c r="G143" s="2" t="s">
        <v>613</v>
      </c>
      <c r="H143" s="5" t="s">
        <v>454</v>
      </c>
      <c r="J143" s="5">
        <v>900000.0</v>
      </c>
      <c r="K143" s="4" t="s">
        <v>945</v>
      </c>
      <c r="L143" s="3">
        <v>46183.42285879629</v>
      </c>
      <c r="M143" s="2" t="s">
        <v>946</v>
      </c>
      <c r="N143" s="29"/>
      <c r="O143" s="29"/>
      <c r="S143" s="30"/>
      <c r="T143" s="30"/>
    </row>
    <row r="144">
      <c r="A144" s="2" t="s">
        <v>1277</v>
      </c>
      <c r="B144" s="2" t="s">
        <v>17</v>
      </c>
      <c r="C144" s="4">
        <v>2025.0</v>
      </c>
      <c r="D144" s="4">
        <v>6.0</v>
      </c>
      <c r="E144" s="3">
        <v>46201.0</v>
      </c>
      <c r="F144" s="4">
        <v>2.0</v>
      </c>
      <c r="G144" s="2" t="s">
        <v>237</v>
      </c>
      <c r="H144" s="5" t="s">
        <v>237</v>
      </c>
      <c r="I144" s="2" t="s">
        <v>1278</v>
      </c>
      <c r="J144" s="5">
        <v>3.15E7</v>
      </c>
      <c r="K144" s="4" t="s">
        <v>945</v>
      </c>
      <c r="L144" s="3">
        <v>46183.42285879629</v>
      </c>
      <c r="M144" s="2" t="s">
        <v>946</v>
      </c>
      <c r="N144" s="29"/>
      <c r="O144" s="29"/>
      <c r="S144" s="30"/>
      <c r="T144" s="30"/>
    </row>
    <row r="145">
      <c r="A145" s="2" t="s">
        <v>1279</v>
      </c>
      <c r="B145" s="2" t="s">
        <v>17</v>
      </c>
      <c r="C145" s="4">
        <v>2025.0</v>
      </c>
      <c r="D145" s="4">
        <v>6.0</v>
      </c>
      <c r="E145" s="3">
        <v>46201.0</v>
      </c>
      <c r="F145" s="4">
        <v>2.0</v>
      </c>
      <c r="G145" s="2" t="s">
        <v>613</v>
      </c>
      <c r="H145" s="5" t="s">
        <v>233</v>
      </c>
      <c r="J145" s="5">
        <v>4500000.0</v>
      </c>
      <c r="K145" s="4" t="s">
        <v>945</v>
      </c>
      <c r="L145" s="3">
        <v>46183.42285879629</v>
      </c>
      <c r="M145" s="2" t="s">
        <v>946</v>
      </c>
      <c r="N145" s="29"/>
      <c r="O145" s="29"/>
      <c r="S145" s="30"/>
      <c r="T145" s="30"/>
    </row>
    <row r="146">
      <c r="A146" s="2" t="s">
        <v>1280</v>
      </c>
      <c r="B146" s="2" t="s">
        <v>17</v>
      </c>
      <c r="C146" s="4">
        <v>2025.0</v>
      </c>
      <c r="D146" s="4">
        <v>6.0</v>
      </c>
      <c r="E146" s="3">
        <v>46201.0</v>
      </c>
      <c r="F146" s="4">
        <v>2.0</v>
      </c>
      <c r="G146" s="2" t="s">
        <v>613</v>
      </c>
      <c r="H146" s="5" t="s">
        <v>200</v>
      </c>
      <c r="J146" s="5">
        <v>220000.0</v>
      </c>
      <c r="K146" s="4" t="s">
        <v>945</v>
      </c>
      <c r="L146" s="3">
        <v>46183.42285879629</v>
      </c>
      <c r="M146" s="2" t="s">
        <v>946</v>
      </c>
      <c r="N146" s="29"/>
      <c r="O146" s="29"/>
      <c r="S146" s="30"/>
      <c r="T146" s="30"/>
    </row>
    <row r="147">
      <c r="A147" s="2" t="s">
        <v>1281</v>
      </c>
      <c r="B147" s="2" t="s">
        <v>17</v>
      </c>
      <c r="C147" s="4">
        <v>2025.0</v>
      </c>
      <c r="D147" s="4">
        <v>6.0</v>
      </c>
      <c r="E147" s="3">
        <v>46201.0</v>
      </c>
      <c r="F147" s="4">
        <v>2.0</v>
      </c>
      <c r="G147" s="2" t="s">
        <v>613</v>
      </c>
      <c r="H147" s="5" t="s">
        <v>1282</v>
      </c>
      <c r="J147" s="5">
        <v>3200000.0</v>
      </c>
      <c r="K147" s="4" t="s">
        <v>945</v>
      </c>
      <c r="L147" s="3">
        <v>46183.42285879629</v>
      </c>
      <c r="M147" s="2" t="s">
        <v>946</v>
      </c>
      <c r="N147" s="29"/>
      <c r="O147" s="29"/>
      <c r="S147" s="30"/>
      <c r="T147" s="30"/>
    </row>
    <row r="148">
      <c r="A148" s="2" t="s">
        <v>1283</v>
      </c>
      <c r="B148" s="2" t="s">
        <v>17</v>
      </c>
      <c r="C148" s="4">
        <v>2025.0</v>
      </c>
      <c r="D148" s="4">
        <v>6.0</v>
      </c>
      <c r="E148" s="3">
        <v>46201.0</v>
      </c>
      <c r="F148" s="4">
        <v>2.0</v>
      </c>
      <c r="G148" s="2" t="s">
        <v>613</v>
      </c>
      <c r="H148" s="5" t="s">
        <v>1284</v>
      </c>
      <c r="J148" s="5">
        <v>150000.0</v>
      </c>
      <c r="K148" s="4" t="s">
        <v>945</v>
      </c>
      <c r="L148" s="3">
        <v>46183.42285879629</v>
      </c>
      <c r="M148" s="2" t="s">
        <v>946</v>
      </c>
      <c r="N148" s="29"/>
      <c r="O148" s="29"/>
      <c r="S148" s="30"/>
      <c r="T148" s="30"/>
    </row>
    <row r="149">
      <c r="A149" s="2" t="s">
        <v>1285</v>
      </c>
      <c r="B149" s="2" t="s">
        <v>17</v>
      </c>
      <c r="C149" s="4">
        <v>2025.0</v>
      </c>
      <c r="D149" s="4">
        <v>6.0</v>
      </c>
      <c r="E149" s="3">
        <v>46201.0</v>
      </c>
      <c r="F149" s="4">
        <v>2.0</v>
      </c>
      <c r="G149" s="2" t="s">
        <v>626</v>
      </c>
      <c r="H149" s="5" t="s">
        <v>1286</v>
      </c>
      <c r="J149" s="5">
        <v>3365000.0</v>
      </c>
      <c r="K149" s="4" t="s">
        <v>945</v>
      </c>
      <c r="L149" s="3">
        <v>46183.42285879629</v>
      </c>
      <c r="M149" s="2" t="s">
        <v>946</v>
      </c>
      <c r="N149" s="29"/>
      <c r="O149" s="29"/>
      <c r="S149" s="30"/>
      <c r="T149" s="30"/>
    </row>
    <row r="150">
      <c r="A150" s="2" t="s">
        <v>1287</v>
      </c>
      <c r="B150" s="2" t="s">
        <v>17</v>
      </c>
      <c r="C150" s="4">
        <v>2025.0</v>
      </c>
      <c r="D150" s="4">
        <v>6.0</v>
      </c>
      <c r="E150" s="3">
        <v>46201.0</v>
      </c>
      <c r="F150" s="4">
        <v>2.0</v>
      </c>
      <c r="G150" s="2" t="s">
        <v>626</v>
      </c>
      <c r="H150" s="5" t="s">
        <v>239</v>
      </c>
      <c r="J150" s="5">
        <v>100000.0</v>
      </c>
      <c r="K150" s="4" t="s">
        <v>945</v>
      </c>
      <c r="L150" s="3">
        <v>46183.42285879629</v>
      </c>
      <c r="M150" s="2" t="s">
        <v>946</v>
      </c>
      <c r="N150" s="29"/>
      <c r="O150" s="29"/>
      <c r="S150" s="30"/>
      <c r="T150" s="30"/>
    </row>
    <row r="151">
      <c r="A151" s="2" t="s">
        <v>1288</v>
      </c>
      <c r="B151" s="2" t="s">
        <v>17</v>
      </c>
      <c r="C151" s="4">
        <v>2025.0</v>
      </c>
      <c r="D151" s="4">
        <v>6.0</v>
      </c>
      <c r="E151" s="3">
        <v>46201.0</v>
      </c>
      <c r="F151" s="4">
        <v>2.0</v>
      </c>
      <c r="G151" s="2" t="s">
        <v>613</v>
      </c>
      <c r="H151" s="5" t="s">
        <v>1289</v>
      </c>
      <c r="J151" s="5">
        <v>450000.0</v>
      </c>
      <c r="K151" s="4" t="s">
        <v>945</v>
      </c>
      <c r="L151" s="3">
        <v>46183.42285879629</v>
      </c>
      <c r="M151" s="2" t="s">
        <v>946</v>
      </c>
      <c r="N151" s="29"/>
      <c r="O151" s="29"/>
      <c r="S151" s="30"/>
      <c r="T151" s="30"/>
    </row>
    <row r="152">
      <c r="A152" s="2" t="s">
        <v>1290</v>
      </c>
      <c r="B152" s="2" t="s">
        <v>17</v>
      </c>
      <c r="C152" s="4">
        <v>2025.0</v>
      </c>
      <c r="D152" s="4">
        <v>7.0</v>
      </c>
      <c r="E152" s="3">
        <v>46213.0</v>
      </c>
      <c r="F152" s="4">
        <v>1.0</v>
      </c>
      <c r="G152" s="2" t="s">
        <v>602</v>
      </c>
      <c r="H152" s="5" t="s">
        <v>169</v>
      </c>
      <c r="I152" s="2" t="s">
        <v>1291</v>
      </c>
      <c r="J152" s="5">
        <v>1794800.0</v>
      </c>
      <c r="K152" s="4" t="s">
        <v>945</v>
      </c>
      <c r="L152" s="3">
        <v>46183.42285879629</v>
      </c>
      <c r="M152" s="2" t="s">
        <v>946</v>
      </c>
      <c r="N152" s="29"/>
      <c r="O152" s="29"/>
      <c r="S152" s="30"/>
      <c r="T152" s="30"/>
    </row>
    <row r="153">
      <c r="A153" s="2" t="s">
        <v>1292</v>
      </c>
      <c r="B153" s="2" t="s">
        <v>17</v>
      </c>
      <c r="C153" s="4">
        <v>2025.0</v>
      </c>
      <c r="D153" s="4">
        <v>7.0</v>
      </c>
      <c r="E153" s="3">
        <v>46213.0</v>
      </c>
      <c r="F153" s="4">
        <v>1.0</v>
      </c>
      <c r="G153" s="2" t="s">
        <v>602</v>
      </c>
      <c r="H153" s="5" t="s">
        <v>176</v>
      </c>
      <c r="I153" s="2" t="s">
        <v>1293</v>
      </c>
      <c r="J153" s="5">
        <v>3051160.0</v>
      </c>
      <c r="K153" s="4" t="s">
        <v>945</v>
      </c>
      <c r="L153" s="3">
        <v>46183.42285879629</v>
      </c>
      <c r="M153" s="2" t="s">
        <v>946</v>
      </c>
      <c r="N153" s="29"/>
      <c r="O153" s="29"/>
      <c r="S153" s="30"/>
      <c r="T153" s="30"/>
    </row>
    <row r="154">
      <c r="A154" s="2" t="s">
        <v>1294</v>
      </c>
      <c r="B154" s="2" t="s">
        <v>17</v>
      </c>
      <c r="C154" s="4">
        <v>2025.0</v>
      </c>
      <c r="D154" s="4">
        <v>7.0</v>
      </c>
      <c r="E154" s="3">
        <v>46213.0</v>
      </c>
      <c r="F154" s="4">
        <v>1.0</v>
      </c>
      <c r="G154" s="2" t="s">
        <v>602</v>
      </c>
      <c r="H154" s="5" t="s">
        <v>183</v>
      </c>
      <c r="J154" s="5">
        <v>600000.0</v>
      </c>
      <c r="K154" s="4" t="s">
        <v>945</v>
      </c>
      <c r="L154" s="3">
        <v>46183.42285879629</v>
      </c>
      <c r="M154" s="2" t="s">
        <v>946</v>
      </c>
      <c r="N154" s="29"/>
      <c r="O154" s="29"/>
      <c r="S154" s="30"/>
      <c r="T154" s="30"/>
    </row>
    <row r="155">
      <c r="A155" s="2" t="s">
        <v>1295</v>
      </c>
      <c r="B155" s="2" t="s">
        <v>17</v>
      </c>
      <c r="C155" s="4">
        <v>2025.0</v>
      </c>
      <c r="D155" s="4">
        <v>7.0</v>
      </c>
      <c r="E155" s="3">
        <v>46213.0</v>
      </c>
      <c r="F155" s="4">
        <v>1.0</v>
      </c>
      <c r="G155" s="2" t="s">
        <v>602</v>
      </c>
      <c r="H155" s="5" t="s">
        <v>188</v>
      </c>
      <c r="J155" s="5">
        <v>200000.0</v>
      </c>
      <c r="K155" s="4" t="s">
        <v>945</v>
      </c>
      <c r="L155" s="3">
        <v>46183.42285879629</v>
      </c>
      <c r="M155" s="2" t="s">
        <v>946</v>
      </c>
      <c r="N155" s="29"/>
      <c r="O155" s="29"/>
      <c r="S155" s="30"/>
      <c r="T155" s="30"/>
    </row>
    <row r="156">
      <c r="A156" s="2" t="s">
        <v>1296</v>
      </c>
      <c r="B156" s="2" t="s">
        <v>17</v>
      </c>
      <c r="C156" s="4">
        <v>2025.0</v>
      </c>
      <c r="D156" s="4">
        <v>7.0</v>
      </c>
      <c r="E156" s="3">
        <v>46213.0</v>
      </c>
      <c r="F156" s="4">
        <v>1.0</v>
      </c>
      <c r="G156" s="2" t="s">
        <v>613</v>
      </c>
      <c r="H156" s="5" t="s">
        <v>200</v>
      </c>
      <c r="J156" s="5">
        <v>110000.0</v>
      </c>
      <c r="K156" s="4" t="s">
        <v>945</v>
      </c>
      <c r="L156" s="3">
        <v>46183.42285879629</v>
      </c>
      <c r="M156" s="2" t="s">
        <v>946</v>
      </c>
      <c r="N156" s="29"/>
      <c r="O156" s="29"/>
      <c r="S156" s="30"/>
      <c r="T156" s="30"/>
    </row>
    <row r="157">
      <c r="A157" s="2" t="s">
        <v>1297</v>
      </c>
      <c r="B157" s="2" t="s">
        <v>17</v>
      </c>
      <c r="C157" s="4">
        <v>2025.0</v>
      </c>
      <c r="D157" s="4">
        <v>7.0</v>
      </c>
      <c r="E157" s="3">
        <v>46213.0</v>
      </c>
      <c r="F157" s="4">
        <v>1.0</v>
      </c>
      <c r="G157" s="2" t="s">
        <v>237</v>
      </c>
      <c r="H157" s="5" t="s">
        <v>237</v>
      </c>
      <c r="J157" s="5">
        <v>1.4E7</v>
      </c>
      <c r="K157" s="4" t="s">
        <v>945</v>
      </c>
      <c r="L157" s="3">
        <v>46183.42285879629</v>
      </c>
      <c r="M157" s="2" t="s">
        <v>946</v>
      </c>
      <c r="N157" s="29"/>
      <c r="O157" s="29"/>
      <c r="S157" s="30"/>
      <c r="T157" s="30"/>
    </row>
    <row r="158">
      <c r="A158" s="2" t="s">
        <v>1298</v>
      </c>
      <c r="B158" s="2" t="s">
        <v>17</v>
      </c>
      <c r="C158" s="4">
        <v>2025.0</v>
      </c>
      <c r="D158" s="4">
        <v>7.0</v>
      </c>
      <c r="E158" s="3">
        <v>46213.0</v>
      </c>
      <c r="F158" s="4">
        <v>1.0</v>
      </c>
      <c r="G158" s="2" t="s">
        <v>613</v>
      </c>
      <c r="H158" s="5" t="s">
        <v>211</v>
      </c>
      <c r="J158" s="5">
        <v>1068000.0</v>
      </c>
      <c r="K158" s="4" t="s">
        <v>945</v>
      </c>
      <c r="L158" s="3">
        <v>46183.42285879629</v>
      </c>
      <c r="M158" s="2" t="s">
        <v>946</v>
      </c>
      <c r="N158" s="29"/>
      <c r="O158" s="29"/>
      <c r="S158" s="30"/>
      <c r="T158" s="30"/>
    </row>
    <row r="159">
      <c r="A159" s="2" t="s">
        <v>1299</v>
      </c>
      <c r="B159" s="2" t="s">
        <v>17</v>
      </c>
      <c r="C159" s="4">
        <v>2025.0</v>
      </c>
      <c r="D159" s="4">
        <v>7.0</v>
      </c>
      <c r="E159" s="3">
        <v>46226.0</v>
      </c>
      <c r="F159" s="4">
        <v>2.0</v>
      </c>
      <c r="G159" s="2" t="s">
        <v>602</v>
      </c>
      <c r="H159" s="5" t="s">
        <v>169</v>
      </c>
      <c r="I159" s="2" t="s">
        <v>1300</v>
      </c>
      <c r="J159" s="5">
        <v>1927000.0</v>
      </c>
      <c r="K159" s="4" t="s">
        <v>945</v>
      </c>
      <c r="L159" s="3">
        <v>46183.42285879629</v>
      </c>
      <c r="M159" s="2" t="s">
        <v>946</v>
      </c>
      <c r="N159" s="29"/>
      <c r="O159" s="29"/>
      <c r="S159" s="30"/>
      <c r="T159" s="30"/>
    </row>
    <row r="160">
      <c r="A160" s="2" t="s">
        <v>1301</v>
      </c>
      <c r="B160" s="2" t="s">
        <v>17</v>
      </c>
      <c r="C160" s="4">
        <v>2025.0</v>
      </c>
      <c r="D160" s="4">
        <v>7.0</v>
      </c>
      <c r="E160" s="3">
        <v>46226.0</v>
      </c>
      <c r="F160" s="4">
        <v>2.0</v>
      </c>
      <c r="G160" s="2" t="s">
        <v>602</v>
      </c>
      <c r="H160" s="5" t="s">
        <v>176</v>
      </c>
      <c r="I160" s="2" t="s">
        <v>1302</v>
      </c>
      <c r="J160" s="5">
        <v>3275900.0</v>
      </c>
      <c r="K160" s="4" t="s">
        <v>945</v>
      </c>
      <c r="L160" s="3">
        <v>46183.42285879629</v>
      </c>
      <c r="M160" s="2" t="s">
        <v>946</v>
      </c>
      <c r="N160" s="29"/>
      <c r="O160" s="29"/>
      <c r="S160" s="30"/>
      <c r="T160" s="30"/>
    </row>
    <row r="161">
      <c r="A161" s="2" t="s">
        <v>1303</v>
      </c>
      <c r="B161" s="2" t="s">
        <v>17</v>
      </c>
      <c r="C161" s="4">
        <v>2025.0</v>
      </c>
      <c r="D161" s="4">
        <v>7.0</v>
      </c>
      <c r="E161" s="3">
        <v>46226.0</v>
      </c>
      <c r="F161" s="4">
        <v>2.0</v>
      </c>
      <c r="G161" s="2" t="s">
        <v>602</v>
      </c>
      <c r="H161" s="5" t="s">
        <v>183</v>
      </c>
      <c r="J161" s="5">
        <v>600000.0</v>
      </c>
      <c r="K161" s="4" t="s">
        <v>945</v>
      </c>
      <c r="L161" s="3">
        <v>46183.42285879629</v>
      </c>
      <c r="M161" s="2" t="s">
        <v>946</v>
      </c>
      <c r="N161" s="29"/>
      <c r="O161" s="29"/>
      <c r="S161" s="30"/>
      <c r="T161" s="30"/>
    </row>
    <row r="162">
      <c r="A162" s="2" t="s">
        <v>1304</v>
      </c>
      <c r="B162" s="2" t="s">
        <v>17</v>
      </c>
      <c r="C162" s="4">
        <v>2025.0</v>
      </c>
      <c r="D162" s="4">
        <v>7.0</v>
      </c>
      <c r="E162" s="3">
        <v>46226.0</v>
      </c>
      <c r="F162" s="4">
        <v>2.0</v>
      </c>
      <c r="G162" s="2" t="s">
        <v>602</v>
      </c>
      <c r="H162" s="5" t="s">
        <v>188</v>
      </c>
      <c r="J162" s="5">
        <v>200000.0</v>
      </c>
      <c r="K162" s="4" t="s">
        <v>945</v>
      </c>
      <c r="L162" s="3">
        <v>46183.42285879629</v>
      </c>
      <c r="M162" s="2" t="s">
        <v>946</v>
      </c>
      <c r="N162" s="29"/>
      <c r="O162" s="29"/>
      <c r="S162" s="30"/>
      <c r="T162" s="30"/>
    </row>
    <row r="163">
      <c r="A163" s="2" t="s">
        <v>1305</v>
      </c>
      <c r="B163" s="2" t="s">
        <v>17</v>
      </c>
      <c r="C163" s="4">
        <v>2025.0</v>
      </c>
      <c r="D163" s="4">
        <v>7.0</v>
      </c>
      <c r="E163" s="3">
        <v>46226.0</v>
      </c>
      <c r="F163" s="4">
        <v>2.0</v>
      </c>
      <c r="G163" s="2" t="s">
        <v>613</v>
      </c>
      <c r="H163" s="5" t="s">
        <v>1306</v>
      </c>
      <c r="J163" s="5">
        <v>300000.0</v>
      </c>
      <c r="K163" s="4" t="s">
        <v>945</v>
      </c>
      <c r="L163" s="3">
        <v>46183.42285879629</v>
      </c>
      <c r="M163" s="2" t="s">
        <v>946</v>
      </c>
      <c r="N163" s="29"/>
      <c r="O163" s="29"/>
      <c r="S163" s="30"/>
      <c r="T163" s="30"/>
    </row>
    <row r="164">
      <c r="A164" s="2" t="s">
        <v>1307</v>
      </c>
      <c r="B164" s="2" t="s">
        <v>17</v>
      </c>
      <c r="C164" s="4">
        <v>2025.0</v>
      </c>
      <c r="D164" s="4">
        <v>7.0</v>
      </c>
      <c r="E164" s="3">
        <v>46226.0</v>
      </c>
      <c r="F164" s="4">
        <v>2.0</v>
      </c>
      <c r="G164" s="2" t="s">
        <v>613</v>
      </c>
      <c r="H164" s="5" t="s">
        <v>1308</v>
      </c>
      <c r="J164" s="5">
        <v>785000.0</v>
      </c>
      <c r="K164" s="4" t="s">
        <v>945</v>
      </c>
      <c r="L164" s="3">
        <v>46183.42285879629</v>
      </c>
      <c r="M164" s="2" t="s">
        <v>946</v>
      </c>
      <c r="N164" s="29"/>
      <c r="O164" s="29"/>
      <c r="S164" s="30"/>
      <c r="T164" s="30"/>
    </row>
    <row r="165">
      <c r="A165" s="2" t="s">
        <v>1309</v>
      </c>
      <c r="B165" s="2" t="s">
        <v>17</v>
      </c>
      <c r="C165" s="4">
        <v>2025.0</v>
      </c>
      <c r="D165" s="4">
        <v>7.0</v>
      </c>
      <c r="E165" s="3">
        <v>46226.0</v>
      </c>
      <c r="F165" s="4">
        <v>2.0</v>
      </c>
      <c r="G165" s="2" t="s">
        <v>613</v>
      </c>
      <c r="H165" s="5" t="s">
        <v>1310</v>
      </c>
      <c r="J165" s="5">
        <v>1960000.0</v>
      </c>
      <c r="K165" s="4" t="s">
        <v>945</v>
      </c>
      <c r="L165" s="3">
        <v>46183.42285879629</v>
      </c>
      <c r="M165" s="2" t="s">
        <v>946</v>
      </c>
      <c r="N165" s="29"/>
      <c r="O165" s="29"/>
      <c r="S165" s="30"/>
      <c r="T165" s="30"/>
    </row>
    <row r="166">
      <c r="A166" s="2" t="s">
        <v>1311</v>
      </c>
      <c r="B166" s="2" t="s">
        <v>17</v>
      </c>
      <c r="C166" s="4">
        <v>2025.0</v>
      </c>
      <c r="D166" s="4">
        <v>7.0</v>
      </c>
      <c r="E166" s="3">
        <v>46226.0</v>
      </c>
      <c r="F166" s="4">
        <v>2.0</v>
      </c>
      <c r="G166" s="2" t="s">
        <v>613</v>
      </c>
      <c r="H166" s="5" t="s">
        <v>1129</v>
      </c>
      <c r="J166" s="5">
        <v>4600000.0</v>
      </c>
      <c r="K166" s="4" t="s">
        <v>945</v>
      </c>
      <c r="L166" s="3">
        <v>46183.42285879629</v>
      </c>
      <c r="M166" s="2" t="s">
        <v>946</v>
      </c>
      <c r="N166" s="29"/>
      <c r="O166" s="29"/>
      <c r="S166" s="30"/>
      <c r="T166" s="30"/>
    </row>
    <row r="167">
      <c r="A167" s="2" t="s">
        <v>1312</v>
      </c>
      <c r="B167" s="2" t="s">
        <v>17</v>
      </c>
      <c r="C167" s="4">
        <v>2025.0</v>
      </c>
      <c r="D167" s="4">
        <v>7.0</v>
      </c>
      <c r="E167" s="3">
        <v>46226.0</v>
      </c>
      <c r="F167" s="4">
        <v>2.0</v>
      </c>
      <c r="G167" s="2" t="s">
        <v>602</v>
      </c>
      <c r="H167" s="5" t="s">
        <v>1083</v>
      </c>
      <c r="J167" s="5">
        <v>550000.0</v>
      </c>
      <c r="K167" s="4" t="s">
        <v>945</v>
      </c>
      <c r="L167" s="3">
        <v>46183.42285879629</v>
      </c>
      <c r="M167" s="2" t="s">
        <v>946</v>
      </c>
      <c r="N167" s="29"/>
      <c r="O167" s="29"/>
      <c r="S167" s="30"/>
      <c r="T167" s="30"/>
    </row>
    <row r="168">
      <c r="A168" s="2" t="s">
        <v>1313</v>
      </c>
      <c r="B168" s="2" t="s">
        <v>17</v>
      </c>
      <c r="C168" s="4">
        <v>2025.0</v>
      </c>
      <c r="D168" s="4">
        <v>7.0</v>
      </c>
      <c r="E168" s="3">
        <v>46226.0</v>
      </c>
      <c r="F168" s="4">
        <v>2.0</v>
      </c>
      <c r="G168" s="2" t="s">
        <v>613</v>
      </c>
      <c r="H168" s="5" t="s">
        <v>1314</v>
      </c>
      <c r="J168" s="5">
        <v>750000.0</v>
      </c>
      <c r="K168" s="4" t="s">
        <v>945</v>
      </c>
      <c r="L168" s="3">
        <v>46183.42285879629</v>
      </c>
      <c r="M168" s="2" t="s">
        <v>946</v>
      </c>
      <c r="N168" s="29"/>
      <c r="O168" s="29"/>
      <c r="S168" s="30"/>
      <c r="T168" s="30"/>
    </row>
    <row r="169">
      <c r="A169" s="2" t="s">
        <v>1315</v>
      </c>
      <c r="B169" s="2" t="s">
        <v>17</v>
      </c>
      <c r="C169" s="4">
        <v>2025.0</v>
      </c>
      <c r="D169" s="4">
        <v>7.0</v>
      </c>
      <c r="E169" s="3">
        <v>46226.0</v>
      </c>
      <c r="F169" s="4">
        <v>2.0</v>
      </c>
      <c r="G169" s="2" t="s">
        <v>613</v>
      </c>
      <c r="H169" s="5" t="s">
        <v>426</v>
      </c>
      <c r="J169" s="5">
        <v>4500000.0</v>
      </c>
      <c r="K169" s="4" t="s">
        <v>945</v>
      </c>
      <c r="L169" s="3">
        <v>46183.42285879629</v>
      </c>
      <c r="M169" s="2" t="s">
        <v>946</v>
      </c>
      <c r="N169" s="29"/>
      <c r="O169" s="29"/>
      <c r="S169" s="30"/>
      <c r="T169" s="30"/>
    </row>
    <row r="170">
      <c r="A170" s="2" t="s">
        <v>1316</v>
      </c>
      <c r="B170" s="2" t="s">
        <v>17</v>
      </c>
      <c r="C170" s="4">
        <v>2025.0</v>
      </c>
      <c r="D170" s="4">
        <v>7.0</v>
      </c>
      <c r="E170" s="3">
        <v>46226.0</v>
      </c>
      <c r="F170" s="4">
        <v>2.0</v>
      </c>
      <c r="G170" s="2" t="s">
        <v>613</v>
      </c>
      <c r="H170" s="5" t="s">
        <v>247</v>
      </c>
      <c r="J170" s="5">
        <v>1900000.0</v>
      </c>
      <c r="K170" s="4" t="s">
        <v>945</v>
      </c>
      <c r="L170" s="3">
        <v>46183.42285879629</v>
      </c>
      <c r="M170" s="2" t="s">
        <v>946</v>
      </c>
      <c r="N170" s="29"/>
      <c r="O170" s="29"/>
      <c r="S170" s="30"/>
      <c r="T170" s="30"/>
    </row>
    <row r="171">
      <c r="A171" s="2" t="s">
        <v>1317</v>
      </c>
      <c r="B171" s="2" t="s">
        <v>17</v>
      </c>
      <c r="C171" s="4">
        <v>2025.0</v>
      </c>
      <c r="D171" s="4">
        <v>7.0</v>
      </c>
      <c r="E171" s="3">
        <v>46226.0</v>
      </c>
      <c r="F171" s="4">
        <v>2.0</v>
      </c>
      <c r="G171" s="2" t="s">
        <v>626</v>
      </c>
      <c r="H171" s="5" t="s">
        <v>239</v>
      </c>
      <c r="J171" s="5">
        <v>3857000.0</v>
      </c>
      <c r="K171" s="4" t="s">
        <v>945</v>
      </c>
      <c r="L171" s="3">
        <v>46183.42285879629</v>
      </c>
      <c r="M171" s="2" t="s">
        <v>946</v>
      </c>
      <c r="N171" s="29"/>
      <c r="O171" s="29"/>
      <c r="S171" s="30"/>
      <c r="T171" s="30"/>
    </row>
    <row r="172">
      <c r="A172" s="2" t="s">
        <v>1318</v>
      </c>
      <c r="B172" s="2" t="s">
        <v>17</v>
      </c>
      <c r="C172" s="4">
        <v>2025.0</v>
      </c>
      <c r="D172" s="4">
        <v>7.0</v>
      </c>
      <c r="E172" s="3">
        <v>46226.0</v>
      </c>
      <c r="F172" s="4">
        <v>2.0</v>
      </c>
      <c r="G172" s="2" t="s">
        <v>613</v>
      </c>
      <c r="H172" s="5" t="s">
        <v>1319</v>
      </c>
      <c r="J172" s="5">
        <v>245000.0</v>
      </c>
      <c r="K172" s="4" t="s">
        <v>945</v>
      </c>
      <c r="L172" s="3">
        <v>46183.42285879629</v>
      </c>
      <c r="M172" s="2" t="s">
        <v>946</v>
      </c>
      <c r="N172" s="29"/>
      <c r="O172" s="29"/>
      <c r="S172" s="30"/>
      <c r="T172" s="30"/>
    </row>
    <row r="173">
      <c r="A173" s="2" t="s">
        <v>1320</v>
      </c>
      <c r="B173" s="2" t="s">
        <v>17</v>
      </c>
      <c r="C173" s="4">
        <v>2025.0</v>
      </c>
      <c r="D173" s="4">
        <v>8.0</v>
      </c>
      <c r="E173" s="3">
        <v>46240.0</v>
      </c>
      <c r="F173" s="4">
        <v>1.0</v>
      </c>
      <c r="G173" s="2" t="s">
        <v>602</v>
      </c>
      <c r="H173" s="5" t="s">
        <v>169</v>
      </c>
      <c r="I173" s="2" t="s">
        <v>1321</v>
      </c>
      <c r="J173" s="5">
        <v>1801300.0</v>
      </c>
      <c r="K173" s="4" t="s">
        <v>945</v>
      </c>
      <c r="L173" s="3">
        <v>46183.42285879629</v>
      </c>
      <c r="M173" s="2" t="s">
        <v>946</v>
      </c>
      <c r="N173" s="29"/>
      <c r="O173" s="29"/>
      <c r="S173" s="30"/>
      <c r="T173" s="30"/>
    </row>
    <row r="174">
      <c r="A174" s="2" t="s">
        <v>1322</v>
      </c>
      <c r="B174" s="2" t="s">
        <v>17</v>
      </c>
      <c r="C174" s="4">
        <v>2025.0</v>
      </c>
      <c r="D174" s="4">
        <v>8.0</v>
      </c>
      <c r="E174" s="3">
        <v>46240.0</v>
      </c>
      <c r="F174" s="4">
        <v>1.0</v>
      </c>
      <c r="G174" s="2" t="s">
        <v>602</v>
      </c>
      <c r="H174" s="5" t="s">
        <v>176</v>
      </c>
      <c r="I174" s="2" t="s">
        <v>1323</v>
      </c>
      <c r="J174" s="5">
        <v>3062210.0</v>
      </c>
      <c r="K174" s="4" t="s">
        <v>945</v>
      </c>
      <c r="L174" s="3">
        <v>46183.42285879629</v>
      </c>
      <c r="M174" s="2" t="s">
        <v>946</v>
      </c>
      <c r="N174" s="29"/>
      <c r="O174" s="29"/>
      <c r="S174" s="30"/>
      <c r="T174" s="30"/>
    </row>
    <row r="175">
      <c r="A175" s="2" t="s">
        <v>1324</v>
      </c>
      <c r="B175" s="2" t="s">
        <v>17</v>
      </c>
      <c r="C175" s="4">
        <v>2025.0</v>
      </c>
      <c r="D175" s="4">
        <v>8.0</v>
      </c>
      <c r="E175" s="3">
        <v>46240.0</v>
      </c>
      <c r="F175" s="4">
        <v>1.0</v>
      </c>
      <c r="G175" s="2" t="s">
        <v>602</v>
      </c>
      <c r="H175" s="5" t="s">
        <v>183</v>
      </c>
      <c r="J175" s="5">
        <v>600000.0</v>
      </c>
      <c r="K175" s="4" t="s">
        <v>945</v>
      </c>
      <c r="L175" s="3">
        <v>46183.42285879629</v>
      </c>
      <c r="M175" s="2" t="s">
        <v>946</v>
      </c>
      <c r="N175" s="29"/>
      <c r="O175" s="29"/>
      <c r="S175" s="30"/>
      <c r="T175" s="30"/>
    </row>
    <row r="176">
      <c r="A176" s="2" t="s">
        <v>1325</v>
      </c>
      <c r="B176" s="2" t="s">
        <v>17</v>
      </c>
      <c r="C176" s="4">
        <v>2025.0</v>
      </c>
      <c r="D176" s="4">
        <v>8.0</v>
      </c>
      <c r="E176" s="3">
        <v>46240.0</v>
      </c>
      <c r="F176" s="4">
        <v>1.0</v>
      </c>
      <c r="G176" s="2" t="s">
        <v>602</v>
      </c>
      <c r="H176" s="5" t="s">
        <v>188</v>
      </c>
      <c r="J176" s="5">
        <v>200000.0</v>
      </c>
      <c r="K176" s="4" t="s">
        <v>945</v>
      </c>
      <c r="L176" s="3">
        <v>46183.42285879629</v>
      </c>
      <c r="M176" s="2" t="s">
        <v>946</v>
      </c>
      <c r="N176" s="29"/>
      <c r="O176" s="29"/>
      <c r="S176" s="30"/>
      <c r="T176" s="30"/>
    </row>
    <row r="177">
      <c r="A177" s="2" t="s">
        <v>1326</v>
      </c>
      <c r="B177" s="2" t="s">
        <v>17</v>
      </c>
      <c r="C177" s="4">
        <v>2025.0</v>
      </c>
      <c r="D177" s="4">
        <v>8.0</v>
      </c>
      <c r="E177" s="3">
        <v>46240.0</v>
      </c>
      <c r="F177" s="4">
        <v>1.0</v>
      </c>
      <c r="G177" s="2" t="s">
        <v>613</v>
      </c>
      <c r="H177" s="5" t="s">
        <v>200</v>
      </c>
      <c r="J177" s="5">
        <v>110000.0</v>
      </c>
      <c r="K177" s="4" t="s">
        <v>945</v>
      </c>
      <c r="L177" s="3">
        <v>46183.42285879629</v>
      </c>
      <c r="M177" s="2" t="s">
        <v>946</v>
      </c>
      <c r="N177" s="29"/>
      <c r="O177" s="29"/>
      <c r="S177" s="30"/>
      <c r="T177" s="30"/>
    </row>
    <row r="178">
      <c r="A178" s="2" t="s">
        <v>1327</v>
      </c>
      <c r="B178" s="2" t="s">
        <v>17</v>
      </c>
      <c r="C178" s="4">
        <v>2025.0</v>
      </c>
      <c r="D178" s="4">
        <v>8.0</v>
      </c>
      <c r="E178" s="3">
        <v>46240.0</v>
      </c>
      <c r="F178" s="4">
        <v>1.0</v>
      </c>
      <c r="G178" s="2" t="s">
        <v>613</v>
      </c>
      <c r="H178" s="5" t="s">
        <v>1328</v>
      </c>
      <c r="J178" s="5">
        <v>270000.0</v>
      </c>
      <c r="K178" s="4" t="s">
        <v>945</v>
      </c>
      <c r="L178" s="3">
        <v>46183.42285879629</v>
      </c>
      <c r="M178" s="2" t="s">
        <v>946</v>
      </c>
      <c r="N178" s="29"/>
      <c r="O178" s="29"/>
      <c r="S178" s="30"/>
      <c r="T178" s="30"/>
    </row>
    <row r="179">
      <c r="A179" s="2" t="s">
        <v>1329</v>
      </c>
      <c r="B179" s="2" t="s">
        <v>17</v>
      </c>
      <c r="C179" s="4">
        <v>2025.0</v>
      </c>
      <c r="D179" s="4">
        <v>8.0</v>
      </c>
      <c r="E179" s="3">
        <v>46240.0</v>
      </c>
      <c r="F179" s="4">
        <v>1.0</v>
      </c>
      <c r="G179" s="2" t="s">
        <v>613</v>
      </c>
      <c r="H179" s="5" t="s">
        <v>1330</v>
      </c>
      <c r="J179" s="5">
        <v>100000.0</v>
      </c>
      <c r="K179" s="4" t="s">
        <v>945</v>
      </c>
      <c r="L179" s="3">
        <v>46183.42285879629</v>
      </c>
      <c r="M179" s="2" t="s">
        <v>946</v>
      </c>
      <c r="N179" s="29"/>
      <c r="O179" s="29"/>
      <c r="S179" s="30"/>
      <c r="T179" s="30"/>
    </row>
    <row r="180">
      <c r="A180" s="2" t="s">
        <v>1331</v>
      </c>
      <c r="B180" s="2" t="s">
        <v>17</v>
      </c>
      <c r="C180" s="4">
        <v>2025.0</v>
      </c>
      <c r="D180" s="4">
        <v>8.0</v>
      </c>
      <c r="E180" s="3">
        <v>46240.0</v>
      </c>
      <c r="F180" s="4">
        <v>1.0</v>
      </c>
      <c r="G180" s="2" t="s">
        <v>613</v>
      </c>
      <c r="H180" s="5" t="s">
        <v>1332</v>
      </c>
      <c r="J180" s="5">
        <v>1200000.0</v>
      </c>
      <c r="K180" s="4" t="s">
        <v>945</v>
      </c>
      <c r="L180" s="3">
        <v>46183.42285879629</v>
      </c>
      <c r="M180" s="2" t="s">
        <v>946</v>
      </c>
      <c r="N180" s="29"/>
      <c r="O180" s="29"/>
      <c r="S180" s="30"/>
      <c r="T180" s="30"/>
    </row>
    <row r="181">
      <c r="A181" s="2" t="s">
        <v>1333</v>
      </c>
      <c r="B181" s="2" t="s">
        <v>17</v>
      </c>
      <c r="C181" s="4">
        <v>2025.0</v>
      </c>
      <c r="D181" s="4">
        <v>8.0</v>
      </c>
      <c r="E181" s="3">
        <v>46240.0</v>
      </c>
      <c r="F181" s="4">
        <v>1.0</v>
      </c>
      <c r="G181" s="2" t="s">
        <v>613</v>
      </c>
      <c r="H181" s="5" t="s">
        <v>211</v>
      </c>
      <c r="J181" s="5">
        <v>1086000.0</v>
      </c>
      <c r="K181" s="4" t="s">
        <v>945</v>
      </c>
      <c r="L181" s="3">
        <v>46183.42285879629</v>
      </c>
      <c r="M181" s="2" t="s">
        <v>946</v>
      </c>
      <c r="N181" s="29"/>
      <c r="O181" s="29"/>
      <c r="S181" s="30"/>
      <c r="T181" s="30"/>
    </row>
    <row r="182">
      <c r="A182" s="2" t="s">
        <v>1334</v>
      </c>
      <c r="B182" s="2" t="s">
        <v>17</v>
      </c>
      <c r="C182" s="4">
        <v>2025.0</v>
      </c>
      <c r="D182" s="4">
        <v>8.0</v>
      </c>
      <c r="E182" s="3">
        <v>46253.0</v>
      </c>
      <c r="F182" s="4">
        <v>2.0</v>
      </c>
      <c r="G182" s="2" t="s">
        <v>602</v>
      </c>
      <c r="H182" s="5" t="s">
        <v>169</v>
      </c>
      <c r="I182" s="2" t="s">
        <v>1335</v>
      </c>
      <c r="J182" s="5">
        <v>2062300.0</v>
      </c>
      <c r="K182" s="4" t="s">
        <v>945</v>
      </c>
      <c r="L182" s="3">
        <v>46183.42285879629</v>
      </c>
      <c r="M182" s="2" t="s">
        <v>946</v>
      </c>
      <c r="N182" s="29"/>
      <c r="O182" s="29"/>
      <c r="S182" s="30"/>
      <c r="T182" s="30"/>
    </row>
    <row r="183">
      <c r="A183" s="2" t="s">
        <v>1336</v>
      </c>
      <c r="B183" s="2" t="s">
        <v>17</v>
      </c>
      <c r="C183" s="4">
        <v>2025.0</v>
      </c>
      <c r="D183" s="4">
        <v>8.0</v>
      </c>
      <c r="E183" s="3">
        <v>46253.0</v>
      </c>
      <c r="F183" s="4">
        <v>2.0</v>
      </c>
      <c r="G183" s="2" t="s">
        <v>602</v>
      </c>
      <c r="H183" s="5" t="s">
        <v>176</v>
      </c>
      <c r="I183" s="2" t="s">
        <v>1337</v>
      </c>
      <c r="J183" s="5">
        <v>3505910.0</v>
      </c>
      <c r="K183" s="4" t="s">
        <v>945</v>
      </c>
      <c r="L183" s="3">
        <v>46183.42285879629</v>
      </c>
      <c r="M183" s="2" t="s">
        <v>946</v>
      </c>
      <c r="N183" s="29"/>
      <c r="O183" s="29"/>
      <c r="S183" s="30"/>
      <c r="T183" s="30"/>
    </row>
    <row r="184">
      <c r="A184" s="2" t="s">
        <v>1338</v>
      </c>
      <c r="B184" s="2" t="s">
        <v>17</v>
      </c>
      <c r="C184" s="4">
        <v>2025.0</v>
      </c>
      <c r="D184" s="4">
        <v>8.0</v>
      </c>
      <c r="E184" s="3">
        <v>46253.0</v>
      </c>
      <c r="F184" s="4">
        <v>2.0</v>
      </c>
      <c r="G184" s="2" t="s">
        <v>602</v>
      </c>
      <c r="H184" s="5" t="s">
        <v>183</v>
      </c>
      <c r="J184" s="5">
        <v>600000.0</v>
      </c>
      <c r="K184" s="4" t="s">
        <v>945</v>
      </c>
      <c r="L184" s="3">
        <v>46183.42285879629</v>
      </c>
      <c r="M184" s="2" t="s">
        <v>946</v>
      </c>
      <c r="N184" s="29"/>
      <c r="O184" s="29"/>
      <c r="S184" s="30"/>
      <c r="T184" s="30"/>
    </row>
    <row r="185">
      <c r="A185" s="2" t="s">
        <v>1339</v>
      </c>
      <c r="B185" s="2" t="s">
        <v>17</v>
      </c>
      <c r="C185" s="4">
        <v>2025.0</v>
      </c>
      <c r="D185" s="4">
        <v>8.0</v>
      </c>
      <c r="E185" s="3">
        <v>46253.0</v>
      </c>
      <c r="F185" s="4">
        <v>2.0</v>
      </c>
      <c r="G185" s="2" t="s">
        <v>602</v>
      </c>
      <c r="H185" s="5" t="s">
        <v>188</v>
      </c>
      <c r="J185" s="5">
        <v>250000.0</v>
      </c>
      <c r="K185" s="4" t="s">
        <v>945</v>
      </c>
      <c r="L185" s="3">
        <v>46183.42285879629</v>
      </c>
      <c r="M185" s="2" t="s">
        <v>946</v>
      </c>
      <c r="N185" s="29"/>
      <c r="O185" s="29"/>
      <c r="S185" s="30"/>
      <c r="T185" s="30"/>
    </row>
    <row r="186">
      <c r="A186" s="2" t="s">
        <v>1340</v>
      </c>
      <c r="B186" s="2" t="s">
        <v>17</v>
      </c>
      <c r="C186" s="4">
        <v>2025.0</v>
      </c>
      <c r="D186" s="4">
        <v>8.0</v>
      </c>
      <c r="E186" s="3">
        <v>46253.0</v>
      </c>
      <c r="F186" s="4">
        <v>2.0</v>
      </c>
      <c r="G186" s="2" t="s">
        <v>613</v>
      </c>
      <c r="H186" s="5" t="s">
        <v>1341</v>
      </c>
      <c r="J186" s="5">
        <v>250000.0</v>
      </c>
      <c r="K186" s="4" t="s">
        <v>945</v>
      </c>
      <c r="L186" s="3">
        <v>46183.42285879629</v>
      </c>
      <c r="M186" s="2" t="s">
        <v>946</v>
      </c>
      <c r="N186" s="29"/>
      <c r="O186" s="29"/>
      <c r="S186" s="30"/>
      <c r="T186" s="30"/>
    </row>
    <row r="187">
      <c r="A187" s="2" t="s">
        <v>1342</v>
      </c>
      <c r="B187" s="2" t="s">
        <v>17</v>
      </c>
      <c r="C187" s="4">
        <v>2025.0</v>
      </c>
      <c r="D187" s="4">
        <v>8.0</v>
      </c>
      <c r="E187" s="3">
        <v>46253.0</v>
      </c>
      <c r="F187" s="4">
        <v>2.0</v>
      </c>
      <c r="G187" s="2" t="s">
        <v>613</v>
      </c>
      <c r="H187" s="5" t="s">
        <v>1343</v>
      </c>
      <c r="J187" s="5">
        <v>7640000.0</v>
      </c>
      <c r="K187" s="4" t="s">
        <v>945</v>
      </c>
      <c r="L187" s="3">
        <v>46183.42285879629</v>
      </c>
      <c r="M187" s="2" t="s">
        <v>946</v>
      </c>
      <c r="N187" s="29"/>
      <c r="O187" s="29"/>
      <c r="S187" s="30"/>
      <c r="T187" s="30"/>
    </row>
    <row r="188">
      <c r="A188" s="2" t="s">
        <v>1344</v>
      </c>
      <c r="B188" s="2" t="s">
        <v>17</v>
      </c>
      <c r="C188" s="4">
        <v>2025.0</v>
      </c>
      <c r="D188" s="4">
        <v>8.0</v>
      </c>
      <c r="E188" s="3">
        <v>46253.0</v>
      </c>
      <c r="F188" s="4">
        <v>2.0</v>
      </c>
      <c r="G188" s="2" t="s">
        <v>613</v>
      </c>
      <c r="H188" s="5" t="s">
        <v>1345</v>
      </c>
      <c r="J188" s="5">
        <v>750000.0</v>
      </c>
      <c r="K188" s="4" t="s">
        <v>945</v>
      </c>
      <c r="L188" s="3">
        <v>46183.42285879629</v>
      </c>
      <c r="M188" s="2" t="s">
        <v>946</v>
      </c>
      <c r="N188" s="29"/>
      <c r="O188" s="29"/>
      <c r="S188" s="30"/>
      <c r="T188" s="30"/>
    </row>
    <row r="189">
      <c r="A189" s="2" t="s">
        <v>1346</v>
      </c>
      <c r="B189" s="2" t="s">
        <v>17</v>
      </c>
      <c r="C189" s="4">
        <v>2025.0</v>
      </c>
      <c r="D189" s="4">
        <v>8.0</v>
      </c>
      <c r="E189" s="3">
        <v>46253.0</v>
      </c>
      <c r="F189" s="4">
        <v>2.0</v>
      </c>
      <c r="G189" s="2" t="s">
        <v>613</v>
      </c>
      <c r="H189" s="5" t="s">
        <v>1347</v>
      </c>
      <c r="J189" s="5">
        <v>3000000.0</v>
      </c>
      <c r="K189" s="4" t="s">
        <v>945</v>
      </c>
      <c r="L189" s="3">
        <v>46183.42285879629</v>
      </c>
      <c r="M189" s="2" t="s">
        <v>946</v>
      </c>
      <c r="N189" s="29"/>
      <c r="O189" s="29"/>
      <c r="S189" s="30"/>
      <c r="T189" s="30"/>
    </row>
    <row r="190">
      <c r="A190" s="2" t="s">
        <v>1348</v>
      </c>
      <c r="B190" s="2" t="s">
        <v>17</v>
      </c>
      <c r="C190" s="4">
        <v>2025.0</v>
      </c>
      <c r="D190" s="4">
        <v>8.0</v>
      </c>
      <c r="E190" s="3">
        <v>46253.0</v>
      </c>
      <c r="F190" s="4">
        <v>2.0</v>
      </c>
      <c r="G190" s="2" t="s">
        <v>626</v>
      </c>
      <c r="H190" s="5" t="s">
        <v>248</v>
      </c>
      <c r="J190" s="5">
        <v>5748000.0</v>
      </c>
      <c r="K190" s="4" t="s">
        <v>945</v>
      </c>
      <c r="L190" s="3">
        <v>46183.42285879629</v>
      </c>
      <c r="M190" s="2" t="s">
        <v>946</v>
      </c>
      <c r="N190" s="29"/>
      <c r="O190" s="29"/>
      <c r="S190" s="30"/>
      <c r="T190" s="30"/>
    </row>
    <row r="191">
      <c r="A191" s="2" t="s">
        <v>1349</v>
      </c>
      <c r="B191" s="2" t="s">
        <v>17</v>
      </c>
      <c r="C191" s="4">
        <v>2025.0</v>
      </c>
      <c r="D191" s="4">
        <v>8.0</v>
      </c>
      <c r="E191" s="3">
        <v>46253.0</v>
      </c>
      <c r="F191" s="4">
        <v>2.0</v>
      </c>
      <c r="G191" s="2" t="s">
        <v>626</v>
      </c>
      <c r="H191" s="5" t="s">
        <v>1350</v>
      </c>
      <c r="J191" s="5">
        <v>1900000.0</v>
      </c>
      <c r="K191" s="4" t="s">
        <v>945</v>
      </c>
      <c r="L191" s="3">
        <v>46183.42285879629</v>
      </c>
      <c r="M191" s="2" t="s">
        <v>946</v>
      </c>
      <c r="N191" s="29"/>
      <c r="O191" s="29"/>
      <c r="S191" s="30"/>
      <c r="T191" s="30"/>
    </row>
    <row r="192">
      <c r="A192" s="2" t="s">
        <v>1351</v>
      </c>
      <c r="B192" s="2" t="s">
        <v>17</v>
      </c>
      <c r="C192" s="4">
        <v>2025.0</v>
      </c>
      <c r="D192" s="4">
        <v>8.0</v>
      </c>
      <c r="E192" s="3">
        <v>46253.0</v>
      </c>
      <c r="F192" s="4">
        <v>2.0</v>
      </c>
      <c r="G192" s="2" t="s">
        <v>626</v>
      </c>
      <c r="H192" s="5" t="s">
        <v>239</v>
      </c>
      <c r="J192" s="5">
        <v>4445000.0</v>
      </c>
      <c r="K192" s="4" t="s">
        <v>945</v>
      </c>
      <c r="L192" s="3">
        <v>46183.42285879629</v>
      </c>
      <c r="M192" s="2" t="s">
        <v>946</v>
      </c>
      <c r="N192" s="29"/>
      <c r="O192" s="29"/>
      <c r="S192" s="30"/>
      <c r="T192" s="30"/>
    </row>
    <row r="193">
      <c r="A193" s="2" t="s">
        <v>1352</v>
      </c>
      <c r="B193" s="2" t="s">
        <v>17</v>
      </c>
      <c r="C193" s="4">
        <v>2025.0</v>
      </c>
      <c r="D193" s="4">
        <v>8.0</v>
      </c>
      <c r="E193" s="3">
        <v>46253.0</v>
      </c>
      <c r="F193" s="4">
        <v>2.0</v>
      </c>
      <c r="G193" s="2" t="s">
        <v>613</v>
      </c>
      <c r="H193" s="5" t="s">
        <v>1353</v>
      </c>
      <c r="J193" s="5">
        <v>4500000.0</v>
      </c>
      <c r="K193" s="4" t="s">
        <v>945</v>
      </c>
      <c r="L193" s="3">
        <v>46183.42285879629</v>
      </c>
      <c r="M193" s="2" t="s">
        <v>946</v>
      </c>
      <c r="N193" s="29"/>
      <c r="O193" s="29"/>
      <c r="S193" s="30"/>
      <c r="T193" s="30"/>
    </row>
    <row r="194">
      <c r="A194" s="2" t="s">
        <v>1354</v>
      </c>
      <c r="B194" s="2" t="s">
        <v>17</v>
      </c>
      <c r="C194" s="4">
        <v>2025.0</v>
      </c>
      <c r="D194" s="4">
        <v>8.0</v>
      </c>
      <c r="E194" s="3">
        <v>46253.0</v>
      </c>
      <c r="F194" s="4">
        <v>2.0</v>
      </c>
      <c r="G194" s="2" t="s">
        <v>613</v>
      </c>
      <c r="H194" s="5" t="s">
        <v>1355</v>
      </c>
      <c r="J194" s="5">
        <v>570000.0</v>
      </c>
      <c r="K194" s="4" t="s">
        <v>945</v>
      </c>
      <c r="L194" s="3">
        <v>46183.42285879629</v>
      </c>
      <c r="M194" s="2" t="s">
        <v>946</v>
      </c>
      <c r="N194" s="29"/>
      <c r="O194" s="29"/>
      <c r="S194" s="30"/>
      <c r="T194" s="30"/>
    </row>
    <row r="195">
      <c r="A195" s="2" t="s">
        <v>1356</v>
      </c>
      <c r="B195" s="2" t="s">
        <v>17</v>
      </c>
      <c r="C195" s="4">
        <v>2025.0</v>
      </c>
      <c r="D195" s="4">
        <v>9.0</v>
      </c>
      <c r="E195" s="3">
        <v>46267.0</v>
      </c>
      <c r="F195" s="4">
        <v>1.0</v>
      </c>
      <c r="G195" s="2" t="s">
        <v>602</v>
      </c>
      <c r="H195" s="5" t="s">
        <v>169</v>
      </c>
      <c r="I195" s="2" t="s">
        <v>1357</v>
      </c>
      <c r="J195" s="5">
        <v>2808480.0</v>
      </c>
      <c r="K195" s="4" t="s">
        <v>945</v>
      </c>
      <c r="L195" s="3">
        <v>46183.42285879629</v>
      </c>
      <c r="M195" s="2" t="s">
        <v>946</v>
      </c>
      <c r="N195" s="29"/>
      <c r="O195" s="29"/>
      <c r="S195" s="30"/>
      <c r="T195" s="30"/>
    </row>
    <row r="196">
      <c r="A196" s="2" t="s">
        <v>1358</v>
      </c>
      <c r="B196" s="2" t="s">
        <v>17</v>
      </c>
      <c r="C196" s="4">
        <v>2025.0</v>
      </c>
      <c r="D196" s="4">
        <v>9.0</v>
      </c>
      <c r="E196" s="3">
        <v>46267.0</v>
      </c>
      <c r="F196" s="4">
        <v>1.0</v>
      </c>
      <c r="G196" s="2" t="s">
        <v>602</v>
      </c>
      <c r="H196" s="5" t="s">
        <v>176</v>
      </c>
      <c r="I196" s="2" t="s">
        <v>1359</v>
      </c>
      <c r="J196" s="5">
        <v>3978680.0</v>
      </c>
      <c r="K196" s="4" t="s">
        <v>945</v>
      </c>
      <c r="L196" s="3">
        <v>46183.42285879629</v>
      </c>
      <c r="M196" s="2" t="s">
        <v>946</v>
      </c>
      <c r="N196" s="29"/>
      <c r="O196" s="29"/>
      <c r="S196" s="30"/>
      <c r="T196" s="30"/>
    </row>
    <row r="197">
      <c r="A197" s="2" t="s">
        <v>1360</v>
      </c>
      <c r="B197" s="2" t="s">
        <v>17</v>
      </c>
      <c r="C197" s="4">
        <v>2025.0</v>
      </c>
      <c r="D197" s="4">
        <v>9.0</v>
      </c>
      <c r="E197" s="3">
        <v>46267.0</v>
      </c>
      <c r="F197" s="4">
        <v>1.0</v>
      </c>
      <c r="G197" s="2" t="s">
        <v>602</v>
      </c>
      <c r="H197" s="5" t="s">
        <v>183</v>
      </c>
      <c r="J197" s="5">
        <v>600000.0</v>
      </c>
      <c r="K197" s="4" t="s">
        <v>945</v>
      </c>
      <c r="L197" s="3">
        <v>46183.42285879629</v>
      </c>
      <c r="M197" s="2" t="s">
        <v>946</v>
      </c>
      <c r="N197" s="29"/>
      <c r="O197" s="29"/>
      <c r="S197" s="30"/>
      <c r="T197" s="30"/>
    </row>
    <row r="198">
      <c r="A198" s="2" t="s">
        <v>1361</v>
      </c>
      <c r="B198" s="2" t="s">
        <v>17</v>
      </c>
      <c r="C198" s="4">
        <v>2025.0</v>
      </c>
      <c r="D198" s="4">
        <v>9.0</v>
      </c>
      <c r="E198" s="3">
        <v>46267.0</v>
      </c>
      <c r="F198" s="4">
        <v>1.0</v>
      </c>
      <c r="G198" s="2" t="s">
        <v>602</v>
      </c>
      <c r="H198" s="5" t="s">
        <v>188</v>
      </c>
      <c r="J198" s="5">
        <v>250000.0</v>
      </c>
      <c r="K198" s="4" t="s">
        <v>945</v>
      </c>
      <c r="L198" s="3">
        <v>46183.42285879629</v>
      </c>
      <c r="M198" s="2" t="s">
        <v>946</v>
      </c>
      <c r="N198" s="29"/>
      <c r="O198" s="29"/>
      <c r="S198" s="30"/>
      <c r="T198" s="30"/>
    </row>
    <row r="199">
      <c r="A199" s="2" t="s">
        <v>1362</v>
      </c>
      <c r="B199" s="2" t="s">
        <v>17</v>
      </c>
      <c r="C199" s="4">
        <v>2025.0</v>
      </c>
      <c r="D199" s="4">
        <v>9.0</v>
      </c>
      <c r="E199" s="3">
        <v>46267.0</v>
      </c>
      <c r="F199" s="4">
        <v>1.0</v>
      </c>
      <c r="G199" s="2" t="s">
        <v>607</v>
      </c>
      <c r="H199" s="5" t="s">
        <v>270</v>
      </c>
      <c r="J199" s="5">
        <v>6260000.0</v>
      </c>
      <c r="K199" s="4" t="s">
        <v>945</v>
      </c>
      <c r="L199" s="3">
        <v>46183.42285879629</v>
      </c>
      <c r="M199" s="2" t="s">
        <v>946</v>
      </c>
      <c r="N199" s="29"/>
      <c r="O199" s="29"/>
      <c r="S199" s="30"/>
      <c r="T199" s="30"/>
    </row>
    <row r="200">
      <c r="A200" s="2" t="s">
        <v>1363</v>
      </c>
      <c r="B200" s="2" t="s">
        <v>17</v>
      </c>
      <c r="C200" s="4">
        <v>2025.0</v>
      </c>
      <c r="D200" s="4">
        <v>9.0</v>
      </c>
      <c r="E200" s="3">
        <v>46267.0</v>
      </c>
      <c r="F200" s="4">
        <v>1.0</v>
      </c>
      <c r="G200" s="2" t="s">
        <v>607</v>
      </c>
      <c r="H200" s="5" t="s">
        <v>197</v>
      </c>
      <c r="J200" s="5">
        <v>3050000.0</v>
      </c>
      <c r="K200" s="4" t="s">
        <v>945</v>
      </c>
      <c r="L200" s="3">
        <v>46183.42285879629</v>
      </c>
      <c r="M200" s="2" t="s">
        <v>946</v>
      </c>
      <c r="N200" s="29"/>
      <c r="O200" s="29"/>
      <c r="S200" s="30"/>
      <c r="T200" s="30"/>
    </row>
    <row r="201">
      <c r="A201" s="2" t="s">
        <v>1364</v>
      </c>
      <c r="B201" s="2" t="s">
        <v>17</v>
      </c>
      <c r="C201" s="4">
        <v>2025.0</v>
      </c>
      <c r="D201" s="4">
        <v>9.0</v>
      </c>
      <c r="E201" s="3">
        <v>46267.0</v>
      </c>
      <c r="F201" s="4">
        <v>1.0</v>
      </c>
      <c r="G201" s="2" t="s">
        <v>613</v>
      </c>
      <c r="H201" s="5" t="s">
        <v>1365</v>
      </c>
      <c r="J201" s="5">
        <v>380000.0</v>
      </c>
      <c r="K201" s="4" t="s">
        <v>945</v>
      </c>
      <c r="L201" s="3">
        <v>46183.42285879629</v>
      </c>
      <c r="M201" s="2" t="s">
        <v>946</v>
      </c>
      <c r="N201" s="29"/>
      <c r="O201" s="29"/>
      <c r="S201" s="30"/>
      <c r="T201" s="30"/>
    </row>
    <row r="202">
      <c r="A202" s="2" t="s">
        <v>1366</v>
      </c>
      <c r="B202" s="2" t="s">
        <v>17</v>
      </c>
      <c r="C202" s="4">
        <v>2025.0</v>
      </c>
      <c r="D202" s="4">
        <v>9.0</v>
      </c>
      <c r="E202" s="3">
        <v>46267.0</v>
      </c>
      <c r="F202" s="4">
        <v>1.0</v>
      </c>
      <c r="G202" s="2" t="s">
        <v>613</v>
      </c>
      <c r="H202" s="5" t="s">
        <v>1367</v>
      </c>
      <c r="J202" s="5">
        <v>2000000.0</v>
      </c>
      <c r="K202" s="4" t="s">
        <v>945</v>
      </c>
      <c r="L202" s="3">
        <v>46183.42285879629</v>
      </c>
      <c r="M202" s="2" t="s">
        <v>946</v>
      </c>
      <c r="N202" s="29"/>
      <c r="O202" s="29"/>
      <c r="S202" s="30"/>
      <c r="T202" s="30"/>
    </row>
    <row r="203">
      <c r="A203" s="2" t="s">
        <v>1368</v>
      </c>
      <c r="B203" s="2" t="s">
        <v>17</v>
      </c>
      <c r="C203" s="4">
        <v>2025.0</v>
      </c>
      <c r="D203" s="4">
        <v>9.0</v>
      </c>
      <c r="E203" s="3">
        <v>46267.0</v>
      </c>
      <c r="F203" s="4">
        <v>1.0</v>
      </c>
      <c r="G203" s="2" t="s">
        <v>613</v>
      </c>
      <c r="H203" s="5" t="s">
        <v>1369</v>
      </c>
      <c r="J203" s="5">
        <v>4200000.0</v>
      </c>
      <c r="K203" s="4" t="s">
        <v>945</v>
      </c>
      <c r="L203" s="3">
        <v>46183.42285879629</v>
      </c>
      <c r="M203" s="2" t="s">
        <v>946</v>
      </c>
      <c r="N203" s="29"/>
      <c r="O203" s="29"/>
      <c r="S203" s="30"/>
      <c r="T203" s="30"/>
    </row>
    <row r="204">
      <c r="A204" s="2" t="s">
        <v>1370</v>
      </c>
      <c r="B204" s="2" t="s">
        <v>17</v>
      </c>
      <c r="C204" s="4">
        <v>2025.0</v>
      </c>
      <c r="D204" s="4">
        <v>9.0</v>
      </c>
      <c r="E204" s="3">
        <v>46267.0</v>
      </c>
      <c r="F204" s="4">
        <v>1.0</v>
      </c>
      <c r="G204" s="2" t="s">
        <v>1156</v>
      </c>
      <c r="H204" s="5" t="s">
        <v>1371</v>
      </c>
      <c r="J204" s="5">
        <v>200000.0</v>
      </c>
      <c r="K204" s="4" t="s">
        <v>945</v>
      </c>
      <c r="L204" s="3">
        <v>46183.42285879629</v>
      </c>
      <c r="M204" s="2" t="s">
        <v>946</v>
      </c>
      <c r="N204" s="29"/>
      <c r="O204" s="29"/>
      <c r="S204" s="30"/>
      <c r="T204" s="30"/>
    </row>
    <row r="205">
      <c r="A205" s="2" t="s">
        <v>1372</v>
      </c>
      <c r="B205" s="2" t="s">
        <v>17</v>
      </c>
      <c r="C205" s="4">
        <v>2025.0</v>
      </c>
      <c r="D205" s="4">
        <v>9.0</v>
      </c>
      <c r="E205" s="3">
        <v>46267.0</v>
      </c>
      <c r="F205" s="4">
        <v>1.0</v>
      </c>
      <c r="G205" s="2" t="s">
        <v>626</v>
      </c>
      <c r="H205" s="5" t="s">
        <v>243</v>
      </c>
      <c r="J205" s="5">
        <v>1000000.0</v>
      </c>
      <c r="K205" s="4" t="s">
        <v>945</v>
      </c>
      <c r="L205" s="3">
        <v>46183.42285879629</v>
      </c>
      <c r="M205" s="2" t="s">
        <v>946</v>
      </c>
      <c r="N205" s="29"/>
      <c r="O205" s="29"/>
      <c r="S205" s="30"/>
      <c r="T205" s="30"/>
    </row>
    <row r="206">
      <c r="A206" s="2" t="s">
        <v>1373</v>
      </c>
      <c r="B206" s="2" t="s">
        <v>17</v>
      </c>
      <c r="C206" s="4">
        <v>2025.0</v>
      </c>
      <c r="D206" s="4">
        <v>9.0</v>
      </c>
      <c r="E206" s="3">
        <v>46267.0</v>
      </c>
      <c r="F206" s="4">
        <v>1.0</v>
      </c>
      <c r="G206" s="2" t="s">
        <v>613</v>
      </c>
      <c r="H206" s="5" t="s">
        <v>1374</v>
      </c>
      <c r="J206" s="5">
        <v>162000.0</v>
      </c>
      <c r="K206" s="4" t="s">
        <v>945</v>
      </c>
      <c r="L206" s="3">
        <v>46183.42285879629</v>
      </c>
      <c r="M206" s="2" t="s">
        <v>946</v>
      </c>
      <c r="N206" s="29"/>
      <c r="O206" s="29"/>
      <c r="S206" s="30"/>
      <c r="T206" s="30"/>
    </row>
    <row r="207">
      <c r="A207" s="2" t="s">
        <v>1375</v>
      </c>
      <c r="B207" s="2" t="s">
        <v>17</v>
      </c>
      <c r="C207" s="4">
        <v>2025.0</v>
      </c>
      <c r="D207" s="4">
        <v>9.0</v>
      </c>
      <c r="E207" s="3">
        <v>46267.0</v>
      </c>
      <c r="F207" s="4">
        <v>1.0</v>
      </c>
      <c r="G207" s="2" t="s">
        <v>1156</v>
      </c>
      <c r="H207" s="5" t="s">
        <v>938</v>
      </c>
      <c r="J207" s="5">
        <v>6000000.0</v>
      </c>
      <c r="K207" s="4" t="s">
        <v>945</v>
      </c>
      <c r="L207" s="3">
        <v>46183.42285879629</v>
      </c>
      <c r="M207" s="2" t="s">
        <v>946</v>
      </c>
      <c r="N207" s="29"/>
      <c r="O207" s="29"/>
      <c r="S207" s="30"/>
      <c r="T207" s="30"/>
    </row>
    <row r="208">
      <c r="A208" s="2" t="s">
        <v>1376</v>
      </c>
      <c r="B208" s="2" t="s">
        <v>17</v>
      </c>
      <c r="C208" s="4">
        <v>2025.0</v>
      </c>
      <c r="D208" s="4">
        <v>9.0</v>
      </c>
      <c r="E208" s="3">
        <v>46267.0</v>
      </c>
      <c r="F208" s="4">
        <v>1.0</v>
      </c>
      <c r="G208" s="2" t="s">
        <v>613</v>
      </c>
      <c r="H208" s="5" t="s">
        <v>1377</v>
      </c>
      <c r="J208" s="5">
        <v>1500000.0</v>
      </c>
      <c r="K208" s="4" t="s">
        <v>945</v>
      </c>
      <c r="L208" s="3">
        <v>46183.42285879629</v>
      </c>
      <c r="M208" s="2" t="s">
        <v>946</v>
      </c>
      <c r="N208" s="29"/>
      <c r="O208" s="29"/>
      <c r="S208" s="30"/>
      <c r="T208" s="30"/>
    </row>
    <row r="209">
      <c r="A209" s="2" t="s">
        <v>1378</v>
      </c>
      <c r="B209" s="2" t="s">
        <v>17</v>
      </c>
      <c r="C209" s="4">
        <v>2025.0</v>
      </c>
      <c r="D209" s="4">
        <v>9.0</v>
      </c>
      <c r="E209" s="3">
        <v>46281.0</v>
      </c>
      <c r="F209" s="4">
        <v>2.0</v>
      </c>
      <c r="G209" s="2" t="s">
        <v>602</v>
      </c>
      <c r="H209" s="5" t="s">
        <v>169</v>
      </c>
      <c r="I209" s="2" t="s">
        <v>1379</v>
      </c>
      <c r="J209" s="5">
        <v>2811600.0</v>
      </c>
      <c r="K209" s="4" t="s">
        <v>945</v>
      </c>
      <c r="L209" s="3">
        <v>46183.42285879629</v>
      </c>
      <c r="M209" s="2" t="s">
        <v>946</v>
      </c>
      <c r="N209" s="29"/>
      <c r="O209" s="29"/>
      <c r="S209" s="30"/>
      <c r="T209" s="30"/>
    </row>
    <row r="210">
      <c r="A210" s="2" t="s">
        <v>1380</v>
      </c>
      <c r="B210" s="2" t="s">
        <v>17</v>
      </c>
      <c r="C210" s="4">
        <v>2025.0</v>
      </c>
      <c r="D210" s="4">
        <v>9.0</v>
      </c>
      <c r="E210" s="3">
        <v>46281.0</v>
      </c>
      <c r="F210" s="4">
        <v>2.0</v>
      </c>
      <c r="G210" s="2" t="s">
        <v>602</v>
      </c>
      <c r="H210" s="5" t="s">
        <v>176</v>
      </c>
      <c r="I210" s="2" t="s">
        <v>1381</v>
      </c>
      <c r="J210" s="5">
        <v>3983100.0</v>
      </c>
      <c r="K210" s="4" t="s">
        <v>945</v>
      </c>
      <c r="L210" s="3">
        <v>46183.42285879629</v>
      </c>
      <c r="M210" s="2" t="s">
        <v>946</v>
      </c>
      <c r="N210" s="29"/>
      <c r="O210" s="29"/>
      <c r="S210" s="30"/>
      <c r="T210" s="30"/>
    </row>
    <row r="211">
      <c r="A211" s="2" t="s">
        <v>1382</v>
      </c>
      <c r="B211" s="2" t="s">
        <v>17</v>
      </c>
      <c r="C211" s="4">
        <v>2025.0</v>
      </c>
      <c r="D211" s="4">
        <v>9.0</v>
      </c>
      <c r="E211" s="3">
        <v>46281.0</v>
      </c>
      <c r="F211" s="4">
        <v>2.0</v>
      </c>
      <c r="G211" s="2" t="s">
        <v>602</v>
      </c>
      <c r="H211" s="5" t="s">
        <v>183</v>
      </c>
      <c r="J211" s="5">
        <v>600000.0</v>
      </c>
      <c r="K211" s="4" t="s">
        <v>945</v>
      </c>
      <c r="L211" s="3">
        <v>46183.42285879629</v>
      </c>
      <c r="M211" s="2" t="s">
        <v>946</v>
      </c>
      <c r="N211" s="29"/>
      <c r="O211" s="29"/>
      <c r="S211" s="30"/>
      <c r="T211" s="30"/>
    </row>
    <row r="212">
      <c r="A212" s="2" t="s">
        <v>1383</v>
      </c>
      <c r="B212" s="2" t="s">
        <v>17</v>
      </c>
      <c r="C212" s="4">
        <v>2025.0</v>
      </c>
      <c r="D212" s="4">
        <v>9.0</v>
      </c>
      <c r="E212" s="3">
        <v>46281.0</v>
      </c>
      <c r="F212" s="4">
        <v>2.0</v>
      </c>
      <c r="G212" s="2" t="s">
        <v>602</v>
      </c>
      <c r="H212" s="5" t="s">
        <v>188</v>
      </c>
      <c r="J212" s="5">
        <v>250000.0</v>
      </c>
      <c r="K212" s="4" t="s">
        <v>945</v>
      </c>
      <c r="L212" s="3">
        <v>46183.42285879629</v>
      </c>
      <c r="M212" s="2" t="s">
        <v>946</v>
      </c>
      <c r="N212" s="29"/>
      <c r="O212" s="29"/>
      <c r="S212" s="30"/>
      <c r="T212" s="30"/>
    </row>
    <row r="213">
      <c r="A213" s="2" t="s">
        <v>1384</v>
      </c>
      <c r="B213" s="2" t="s">
        <v>17</v>
      </c>
      <c r="C213" s="4">
        <v>2025.0</v>
      </c>
      <c r="D213" s="4">
        <v>9.0</v>
      </c>
      <c r="E213" s="3">
        <v>46281.0</v>
      </c>
      <c r="F213" s="4">
        <v>2.0</v>
      </c>
      <c r="G213" s="2" t="s">
        <v>613</v>
      </c>
      <c r="H213" s="5" t="s">
        <v>1385</v>
      </c>
      <c r="J213" s="5">
        <v>300000.0</v>
      </c>
      <c r="K213" s="4" t="s">
        <v>945</v>
      </c>
      <c r="L213" s="3">
        <v>46183.42285879629</v>
      </c>
      <c r="M213" s="2" t="s">
        <v>946</v>
      </c>
      <c r="N213" s="29"/>
      <c r="O213" s="29"/>
      <c r="S213" s="30"/>
      <c r="T213" s="30"/>
    </row>
    <row r="214">
      <c r="A214" s="2" t="s">
        <v>1386</v>
      </c>
      <c r="B214" s="2" t="s">
        <v>17</v>
      </c>
      <c r="C214" s="4">
        <v>2025.0</v>
      </c>
      <c r="D214" s="4">
        <v>9.0</v>
      </c>
      <c r="E214" s="3">
        <v>46281.0</v>
      </c>
      <c r="F214" s="4">
        <v>2.0</v>
      </c>
      <c r="G214" s="2" t="s">
        <v>626</v>
      </c>
      <c r="H214" s="5" t="s">
        <v>1387</v>
      </c>
      <c r="I214" s="2" t="s">
        <v>1388</v>
      </c>
      <c r="J214" s="5">
        <v>5272000.0</v>
      </c>
      <c r="K214" s="4" t="s">
        <v>945</v>
      </c>
      <c r="L214" s="3">
        <v>46183.42285879629</v>
      </c>
      <c r="M214" s="2" t="s">
        <v>946</v>
      </c>
      <c r="N214" s="29"/>
      <c r="O214" s="29"/>
      <c r="S214" s="30"/>
      <c r="T214" s="30"/>
    </row>
    <row r="215">
      <c r="A215" s="2" t="s">
        <v>1389</v>
      </c>
      <c r="B215" s="2" t="s">
        <v>17</v>
      </c>
      <c r="C215" s="4">
        <v>2025.0</v>
      </c>
      <c r="D215" s="4">
        <v>9.0</v>
      </c>
      <c r="E215" s="3">
        <v>46281.0</v>
      </c>
      <c r="F215" s="4">
        <v>2.0</v>
      </c>
      <c r="G215" s="2" t="s">
        <v>626</v>
      </c>
      <c r="H215" s="5" t="s">
        <v>1390</v>
      </c>
      <c r="I215" s="2" t="s">
        <v>1391</v>
      </c>
      <c r="J215" s="5">
        <v>1190000.0</v>
      </c>
      <c r="K215" s="4" t="s">
        <v>945</v>
      </c>
      <c r="L215" s="3">
        <v>46183.42285879629</v>
      </c>
      <c r="M215" s="2" t="s">
        <v>946</v>
      </c>
      <c r="N215" s="29"/>
      <c r="O215" s="29"/>
      <c r="S215" s="30"/>
      <c r="T215" s="30"/>
    </row>
    <row r="216">
      <c r="A216" s="2" t="s">
        <v>1392</v>
      </c>
      <c r="B216" s="2" t="s">
        <v>17</v>
      </c>
      <c r="C216" s="4">
        <v>2025.0</v>
      </c>
      <c r="D216" s="4">
        <v>9.0</v>
      </c>
      <c r="E216" s="3">
        <v>46281.0</v>
      </c>
      <c r="F216" s="4">
        <v>2.0</v>
      </c>
      <c r="G216" s="2" t="s">
        <v>613</v>
      </c>
      <c r="H216" s="5" t="s">
        <v>1393</v>
      </c>
      <c r="J216" s="5">
        <v>600000.0</v>
      </c>
      <c r="K216" s="4" t="s">
        <v>945</v>
      </c>
      <c r="L216" s="3">
        <v>46183.42285879629</v>
      </c>
      <c r="M216" s="2" t="s">
        <v>946</v>
      </c>
      <c r="N216" s="29"/>
      <c r="O216" s="29"/>
      <c r="S216" s="30"/>
      <c r="T216" s="30"/>
    </row>
    <row r="217">
      <c r="A217" s="2" t="s">
        <v>1394</v>
      </c>
      <c r="B217" s="2" t="s">
        <v>17</v>
      </c>
      <c r="C217" s="4">
        <v>2025.0</v>
      </c>
      <c r="D217" s="4">
        <v>9.0</v>
      </c>
      <c r="E217" s="3">
        <v>46281.0</v>
      </c>
      <c r="F217" s="4">
        <v>2.0</v>
      </c>
      <c r="G217" s="2" t="s">
        <v>626</v>
      </c>
      <c r="H217" s="5" t="s">
        <v>239</v>
      </c>
      <c r="J217" s="5">
        <v>4125000.0</v>
      </c>
      <c r="K217" s="4" t="s">
        <v>945</v>
      </c>
      <c r="L217" s="3">
        <v>46183.42285879629</v>
      </c>
      <c r="M217" s="2" t="s">
        <v>946</v>
      </c>
      <c r="N217" s="29"/>
      <c r="O217" s="29"/>
      <c r="S217" s="30"/>
      <c r="T217" s="30"/>
    </row>
    <row r="218">
      <c r="A218" s="2" t="s">
        <v>1395</v>
      </c>
      <c r="B218" s="2" t="s">
        <v>17</v>
      </c>
      <c r="C218" s="4">
        <v>2025.0</v>
      </c>
      <c r="D218" s="4">
        <v>9.0</v>
      </c>
      <c r="E218" s="3">
        <v>46281.0</v>
      </c>
      <c r="F218" s="4">
        <v>2.0</v>
      </c>
      <c r="G218" s="2" t="s">
        <v>613</v>
      </c>
      <c r="H218" s="5" t="s">
        <v>200</v>
      </c>
      <c r="J218" s="5">
        <v>220000.0</v>
      </c>
      <c r="K218" s="4" t="s">
        <v>945</v>
      </c>
      <c r="L218" s="3">
        <v>46183.42285879629</v>
      </c>
      <c r="M218" s="2" t="s">
        <v>946</v>
      </c>
      <c r="N218" s="29"/>
      <c r="O218" s="29"/>
      <c r="S218" s="30"/>
      <c r="T218" s="30"/>
    </row>
    <row r="219">
      <c r="A219" s="2" t="s">
        <v>1396</v>
      </c>
      <c r="B219" s="2" t="s">
        <v>17</v>
      </c>
      <c r="C219" s="4">
        <v>2025.0</v>
      </c>
      <c r="D219" s="4">
        <v>9.0</v>
      </c>
      <c r="E219" s="3">
        <v>46281.0</v>
      </c>
      <c r="F219" s="4">
        <v>2.0</v>
      </c>
      <c r="G219" s="2" t="s">
        <v>613</v>
      </c>
      <c r="H219" s="5" t="s">
        <v>803</v>
      </c>
      <c r="J219" s="5">
        <v>800000.0</v>
      </c>
      <c r="K219" s="4" t="s">
        <v>945</v>
      </c>
      <c r="L219" s="3">
        <v>46183.42285879629</v>
      </c>
      <c r="M219" s="2" t="s">
        <v>946</v>
      </c>
      <c r="N219" s="29"/>
      <c r="O219" s="29"/>
      <c r="S219" s="30"/>
      <c r="T219" s="30"/>
    </row>
    <row r="220">
      <c r="A220" s="2" t="s">
        <v>1397</v>
      </c>
      <c r="B220" s="2" t="s">
        <v>17</v>
      </c>
      <c r="C220" s="4">
        <v>2025.0</v>
      </c>
      <c r="D220" s="4">
        <v>9.0</v>
      </c>
      <c r="E220" s="3">
        <v>46281.0</v>
      </c>
      <c r="F220" s="4">
        <v>2.0</v>
      </c>
      <c r="G220" s="2" t="s">
        <v>613</v>
      </c>
      <c r="H220" s="5" t="s">
        <v>1398</v>
      </c>
      <c r="J220" s="5">
        <v>1500000.0</v>
      </c>
      <c r="K220" s="4" t="s">
        <v>945</v>
      </c>
      <c r="L220" s="3">
        <v>46183.42285879629</v>
      </c>
      <c r="M220" s="2" t="s">
        <v>946</v>
      </c>
      <c r="N220" s="29"/>
      <c r="O220" s="29"/>
      <c r="S220" s="30"/>
      <c r="T220" s="30"/>
    </row>
    <row r="221">
      <c r="A221" s="2" t="s">
        <v>1399</v>
      </c>
      <c r="B221" s="2" t="s">
        <v>17</v>
      </c>
      <c r="C221" s="4">
        <v>2025.0</v>
      </c>
      <c r="D221" s="4">
        <v>9.0</v>
      </c>
      <c r="E221" s="3">
        <v>46281.0</v>
      </c>
      <c r="F221" s="4">
        <v>2.0</v>
      </c>
      <c r="G221" s="2" t="s">
        <v>613</v>
      </c>
      <c r="H221" s="5" t="s">
        <v>426</v>
      </c>
      <c r="J221" s="5">
        <v>4500000.0</v>
      </c>
      <c r="K221" s="4" t="s">
        <v>945</v>
      </c>
      <c r="L221" s="3">
        <v>46183.42285879629</v>
      </c>
      <c r="M221" s="2" t="s">
        <v>946</v>
      </c>
      <c r="N221" s="29"/>
      <c r="O221" s="29"/>
      <c r="S221" s="30"/>
      <c r="T221" s="30"/>
    </row>
    <row r="222">
      <c r="A222" s="2" t="s">
        <v>1400</v>
      </c>
      <c r="B222" s="2" t="s">
        <v>17</v>
      </c>
      <c r="C222" s="4">
        <v>2025.0</v>
      </c>
      <c r="D222" s="4">
        <v>9.0</v>
      </c>
      <c r="E222" s="3">
        <v>46281.0</v>
      </c>
      <c r="F222" s="4">
        <v>2.0</v>
      </c>
      <c r="G222" s="2" t="s">
        <v>613</v>
      </c>
      <c r="H222" s="5" t="s">
        <v>211</v>
      </c>
      <c r="J222" s="5">
        <v>1069000.0</v>
      </c>
      <c r="K222" s="4" t="s">
        <v>945</v>
      </c>
      <c r="L222" s="3">
        <v>46183.42285879629</v>
      </c>
      <c r="M222" s="2" t="s">
        <v>946</v>
      </c>
      <c r="N222" s="29"/>
      <c r="O222" s="29"/>
      <c r="S222" s="30"/>
      <c r="T222" s="30"/>
    </row>
    <row r="223">
      <c r="A223" s="2" t="s">
        <v>1401</v>
      </c>
      <c r="B223" s="2" t="s">
        <v>17</v>
      </c>
      <c r="C223" s="4">
        <v>2025.0</v>
      </c>
      <c r="D223" s="4">
        <v>10.0</v>
      </c>
      <c r="E223" s="3">
        <v>46295.0</v>
      </c>
      <c r="F223" s="4">
        <v>1.0</v>
      </c>
      <c r="G223" s="2" t="s">
        <v>602</v>
      </c>
      <c r="H223" s="5" t="s">
        <v>169</v>
      </c>
      <c r="I223" s="2" t="s">
        <v>1402</v>
      </c>
      <c r="J223" s="5">
        <v>2976360.0</v>
      </c>
      <c r="K223" s="4" t="s">
        <v>945</v>
      </c>
      <c r="L223" s="3">
        <v>46183.42285879629</v>
      </c>
      <c r="M223" s="2" t="s">
        <v>946</v>
      </c>
      <c r="N223" s="29"/>
      <c r="O223" s="29"/>
      <c r="S223" s="30"/>
      <c r="T223" s="30"/>
    </row>
    <row r="224">
      <c r="A224" s="2" t="s">
        <v>1403</v>
      </c>
      <c r="B224" s="2" t="s">
        <v>17</v>
      </c>
      <c r="C224" s="4">
        <v>2025.0</v>
      </c>
      <c r="D224" s="4">
        <v>10.0</v>
      </c>
      <c r="E224" s="3">
        <v>46295.0</v>
      </c>
      <c r="F224" s="4">
        <v>1.0</v>
      </c>
      <c r="G224" s="2" t="s">
        <v>602</v>
      </c>
      <c r="H224" s="5" t="s">
        <v>176</v>
      </c>
      <c r="I224" s="2" t="s">
        <v>1404</v>
      </c>
      <c r="J224" s="5">
        <v>4216510.0</v>
      </c>
      <c r="K224" s="4" t="s">
        <v>945</v>
      </c>
      <c r="L224" s="3">
        <v>46183.42285879629</v>
      </c>
      <c r="M224" s="2" t="s">
        <v>946</v>
      </c>
      <c r="N224" s="29"/>
      <c r="O224" s="29"/>
      <c r="S224" s="30"/>
      <c r="T224" s="30"/>
    </row>
    <row r="225">
      <c r="A225" s="2" t="s">
        <v>1405</v>
      </c>
      <c r="B225" s="2" t="s">
        <v>17</v>
      </c>
      <c r="C225" s="4">
        <v>2025.0</v>
      </c>
      <c r="D225" s="4">
        <v>10.0</v>
      </c>
      <c r="E225" s="3">
        <v>46295.0</v>
      </c>
      <c r="F225" s="4">
        <v>1.0</v>
      </c>
      <c r="G225" s="2" t="s">
        <v>602</v>
      </c>
      <c r="H225" s="5" t="s">
        <v>183</v>
      </c>
      <c r="J225" s="5">
        <v>700000.0</v>
      </c>
      <c r="K225" s="4" t="s">
        <v>945</v>
      </c>
      <c r="L225" s="3">
        <v>46183.42285879629</v>
      </c>
      <c r="M225" s="2" t="s">
        <v>946</v>
      </c>
      <c r="N225" s="29"/>
      <c r="O225" s="29"/>
      <c r="S225" s="30"/>
      <c r="T225" s="30"/>
    </row>
    <row r="226">
      <c r="A226" s="2" t="s">
        <v>1406</v>
      </c>
      <c r="B226" s="2" t="s">
        <v>17</v>
      </c>
      <c r="C226" s="4">
        <v>2025.0</v>
      </c>
      <c r="D226" s="4">
        <v>10.0</v>
      </c>
      <c r="E226" s="3">
        <v>46295.0</v>
      </c>
      <c r="F226" s="4">
        <v>1.0</v>
      </c>
      <c r="G226" s="2" t="s">
        <v>602</v>
      </c>
      <c r="H226" s="5" t="s">
        <v>188</v>
      </c>
      <c r="J226" s="5">
        <v>250000.0</v>
      </c>
      <c r="K226" s="4" t="s">
        <v>945</v>
      </c>
      <c r="L226" s="3">
        <v>46183.42285879629</v>
      </c>
      <c r="M226" s="2" t="s">
        <v>946</v>
      </c>
      <c r="N226" s="29"/>
      <c r="O226" s="29"/>
      <c r="S226" s="30"/>
      <c r="T226" s="30"/>
    </row>
    <row r="227">
      <c r="A227" s="2" t="s">
        <v>1407</v>
      </c>
      <c r="B227" s="2" t="s">
        <v>17</v>
      </c>
      <c r="C227" s="4">
        <v>2025.0</v>
      </c>
      <c r="D227" s="4">
        <v>10.0</v>
      </c>
      <c r="E227" s="3">
        <v>46295.0</v>
      </c>
      <c r="F227" s="4">
        <v>1.0</v>
      </c>
      <c r="G227" s="2" t="s">
        <v>607</v>
      </c>
      <c r="H227" s="5" t="s">
        <v>302</v>
      </c>
      <c r="I227" s="2" t="s">
        <v>1408</v>
      </c>
      <c r="J227" s="5">
        <v>1.5625E7</v>
      </c>
      <c r="K227" s="4" t="s">
        <v>945</v>
      </c>
      <c r="L227" s="3">
        <v>46183.42285879629</v>
      </c>
      <c r="M227" s="2" t="s">
        <v>946</v>
      </c>
      <c r="N227" s="29"/>
      <c r="O227" s="29"/>
      <c r="S227" s="30"/>
      <c r="T227" s="30"/>
    </row>
    <row r="228">
      <c r="A228" s="2" t="s">
        <v>1409</v>
      </c>
      <c r="B228" s="2" t="s">
        <v>17</v>
      </c>
      <c r="C228" s="4">
        <v>2025.0</v>
      </c>
      <c r="D228" s="4">
        <v>10.0</v>
      </c>
      <c r="E228" s="3">
        <v>46295.0</v>
      </c>
      <c r="F228" s="4">
        <v>1.0</v>
      </c>
      <c r="G228" s="2" t="s">
        <v>607</v>
      </c>
      <c r="H228" s="5" t="s">
        <v>197</v>
      </c>
      <c r="I228" s="2" t="s">
        <v>1410</v>
      </c>
      <c r="J228" s="5">
        <v>3175000.0</v>
      </c>
      <c r="K228" s="4" t="s">
        <v>945</v>
      </c>
      <c r="L228" s="3">
        <v>46183.42285879629</v>
      </c>
      <c r="M228" s="2" t="s">
        <v>946</v>
      </c>
      <c r="N228" s="29"/>
      <c r="O228" s="29"/>
      <c r="S228" s="30"/>
      <c r="T228" s="30"/>
    </row>
    <row r="229">
      <c r="A229" s="2" t="s">
        <v>1411</v>
      </c>
      <c r="B229" s="2" t="s">
        <v>17</v>
      </c>
      <c r="C229" s="4">
        <v>2025.0</v>
      </c>
      <c r="D229" s="4">
        <v>10.0</v>
      </c>
      <c r="E229" s="3">
        <v>46295.0</v>
      </c>
      <c r="F229" s="4">
        <v>1.0</v>
      </c>
      <c r="G229" s="2" t="s">
        <v>602</v>
      </c>
      <c r="H229" s="5" t="s">
        <v>1412</v>
      </c>
      <c r="J229" s="5">
        <v>220000.0</v>
      </c>
      <c r="K229" s="4" t="s">
        <v>945</v>
      </c>
      <c r="L229" s="3">
        <v>46183.42285879629</v>
      </c>
      <c r="M229" s="2" t="s">
        <v>946</v>
      </c>
      <c r="N229" s="29"/>
      <c r="O229" s="29"/>
      <c r="S229" s="30"/>
      <c r="T229" s="30"/>
    </row>
    <row r="230">
      <c r="A230" s="2" t="s">
        <v>1413</v>
      </c>
      <c r="B230" s="2" t="s">
        <v>17</v>
      </c>
      <c r="C230" s="4">
        <v>2025.0</v>
      </c>
      <c r="D230" s="4">
        <v>10.0</v>
      </c>
      <c r="E230" s="3">
        <v>46295.0</v>
      </c>
      <c r="F230" s="4">
        <v>1.0</v>
      </c>
      <c r="G230" s="2" t="s">
        <v>607</v>
      </c>
      <c r="H230" s="5" t="s">
        <v>275</v>
      </c>
      <c r="J230" s="5">
        <v>350000.0</v>
      </c>
      <c r="K230" s="4" t="s">
        <v>945</v>
      </c>
      <c r="L230" s="3">
        <v>46183.42285879629</v>
      </c>
      <c r="M230" s="2" t="s">
        <v>946</v>
      </c>
      <c r="N230" s="29"/>
      <c r="O230" s="29"/>
      <c r="S230" s="30"/>
      <c r="T230" s="30"/>
    </row>
    <row r="231">
      <c r="A231" s="2" t="s">
        <v>1414</v>
      </c>
      <c r="B231" s="2" t="s">
        <v>17</v>
      </c>
      <c r="C231" s="4">
        <v>2025.0</v>
      </c>
      <c r="D231" s="4">
        <v>10.0</v>
      </c>
      <c r="E231" s="3">
        <v>46295.0</v>
      </c>
      <c r="F231" s="4">
        <v>1.0</v>
      </c>
      <c r="G231" s="2" t="s">
        <v>613</v>
      </c>
      <c r="H231" s="5" t="s">
        <v>1415</v>
      </c>
      <c r="J231" s="5">
        <v>1060000.0</v>
      </c>
      <c r="K231" s="4" t="s">
        <v>945</v>
      </c>
      <c r="L231" s="3">
        <v>46183.42285879629</v>
      </c>
      <c r="M231" s="2" t="s">
        <v>946</v>
      </c>
      <c r="N231" s="29"/>
      <c r="O231" s="29"/>
      <c r="S231" s="30"/>
      <c r="T231" s="30"/>
    </row>
    <row r="232">
      <c r="A232" s="2" t="s">
        <v>1416</v>
      </c>
      <c r="B232" s="2" t="s">
        <v>17</v>
      </c>
      <c r="C232" s="4">
        <v>2025.0</v>
      </c>
      <c r="D232" s="4">
        <v>10.0</v>
      </c>
      <c r="E232" s="3">
        <v>46295.0</v>
      </c>
      <c r="F232" s="4">
        <v>1.0</v>
      </c>
      <c r="G232" s="2" t="s">
        <v>613</v>
      </c>
      <c r="H232" s="5" t="s">
        <v>1417</v>
      </c>
      <c r="J232" s="5">
        <v>1600000.0</v>
      </c>
      <c r="K232" s="4" t="s">
        <v>945</v>
      </c>
      <c r="L232" s="3">
        <v>46183.42285879629</v>
      </c>
      <c r="M232" s="2" t="s">
        <v>946</v>
      </c>
      <c r="N232" s="29"/>
      <c r="O232" s="29"/>
      <c r="S232" s="30"/>
      <c r="T232" s="30"/>
    </row>
    <row r="233">
      <c r="A233" s="2" t="s">
        <v>1418</v>
      </c>
      <c r="B233" s="2" t="s">
        <v>17</v>
      </c>
      <c r="C233" s="4">
        <v>2025.0</v>
      </c>
      <c r="D233" s="4">
        <v>10.0</v>
      </c>
      <c r="E233" s="3">
        <v>46295.0</v>
      </c>
      <c r="F233" s="4">
        <v>1.0</v>
      </c>
      <c r="G233" s="2" t="s">
        <v>613</v>
      </c>
      <c r="H233" s="5" t="s">
        <v>1419</v>
      </c>
      <c r="J233" s="5">
        <v>1500000.0</v>
      </c>
      <c r="K233" s="4" t="s">
        <v>945</v>
      </c>
      <c r="L233" s="3">
        <v>46183.42285879629</v>
      </c>
      <c r="M233" s="2" t="s">
        <v>946</v>
      </c>
      <c r="N233" s="29"/>
      <c r="O233" s="29"/>
      <c r="S233" s="30"/>
      <c r="T233" s="30"/>
    </row>
    <row r="234">
      <c r="A234" s="2" t="s">
        <v>1420</v>
      </c>
      <c r="B234" s="2" t="s">
        <v>17</v>
      </c>
      <c r="C234" s="4">
        <v>2025.0</v>
      </c>
      <c r="D234" s="4">
        <v>10.0</v>
      </c>
      <c r="E234" s="3">
        <v>46295.0</v>
      </c>
      <c r="F234" s="4">
        <v>1.0</v>
      </c>
      <c r="G234" s="2" t="s">
        <v>613</v>
      </c>
      <c r="H234" s="5" t="s">
        <v>1421</v>
      </c>
      <c r="J234" s="5">
        <v>1100000.0</v>
      </c>
      <c r="K234" s="4" t="s">
        <v>945</v>
      </c>
      <c r="L234" s="3">
        <v>46183.42285879629</v>
      </c>
      <c r="M234" s="2" t="s">
        <v>946</v>
      </c>
      <c r="N234" s="29"/>
      <c r="O234" s="29"/>
      <c r="S234" s="30"/>
      <c r="T234" s="30"/>
    </row>
    <row r="235">
      <c r="A235" s="2" t="s">
        <v>1422</v>
      </c>
      <c r="B235" s="2" t="s">
        <v>17</v>
      </c>
      <c r="C235" s="4">
        <v>2025.0</v>
      </c>
      <c r="D235" s="4">
        <v>10.0</v>
      </c>
      <c r="E235" s="3">
        <v>46295.0</v>
      </c>
      <c r="F235" s="4">
        <v>1.0</v>
      </c>
      <c r="G235" s="2" t="s">
        <v>613</v>
      </c>
      <c r="H235" s="5" t="s">
        <v>211</v>
      </c>
      <c r="J235" s="5">
        <v>1226000.0</v>
      </c>
      <c r="K235" s="4" t="s">
        <v>945</v>
      </c>
      <c r="L235" s="3">
        <v>46183.42285879629</v>
      </c>
      <c r="M235" s="2" t="s">
        <v>946</v>
      </c>
      <c r="N235" s="29"/>
      <c r="O235" s="29"/>
      <c r="S235" s="30"/>
      <c r="T235" s="30"/>
    </row>
    <row r="236">
      <c r="A236" s="2" t="s">
        <v>1423</v>
      </c>
      <c r="B236" s="2" t="s">
        <v>17</v>
      </c>
      <c r="C236" s="4">
        <v>2025.0</v>
      </c>
      <c r="D236" s="4">
        <v>10.0</v>
      </c>
      <c r="E236" s="3">
        <v>46295.0</v>
      </c>
      <c r="F236" s="4">
        <v>1.0</v>
      </c>
      <c r="G236" s="2" t="s">
        <v>613</v>
      </c>
      <c r="H236" s="5" t="s">
        <v>1424</v>
      </c>
      <c r="J236" s="5">
        <v>190000.0</v>
      </c>
      <c r="K236" s="4" t="s">
        <v>945</v>
      </c>
      <c r="L236" s="3">
        <v>46183.42285879629</v>
      </c>
      <c r="M236" s="2" t="s">
        <v>946</v>
      </c>
      <c r="N236" s="29"/>
      <c r="O236" s="29"/>
      <c r="S236" s="30"/>
      <c r="T236" s="30"/>
    </row>
    <row r="237">
      <c r="A237" s="2" t="s">
        <v>1425</v>
      </c>
      <c r="B237" s="2" t="s">
        <v>17</v>
      </c>
      <c r="C237" s="4">
        <v>2025.0</v>
      </c>
      <c r="D237" s="4">
        <v>10.0</v>
      </c>
      <c r="E237" s="3">
        <v>46295.0</v>
      </c>
      <c r="F237" s="4">
        <v>1.0</v>
      </c>
      <c r="G237" s="2" t="s">
        <v>613</v>
      </c>
      <c r="H237" s="5" t="s">
        <v>1426</v>
      </c>
      <c r="J237" s="5">
        <v>360000.0</v>
      </c>
      <c r="K237" s="4" t="s">
        <v>945</v>
      </c>
      <c r="L237" s="3">
        <v>46183.42285879629</v>
      </c>
      <c r="M237" s="2" t="s">
        <v>946</v>
      </c>
      <c r="N237" s="29"/>
      <c r="O237" s="29"/>
      <c r="S237" s="30"/>
      <c r="T237" s="30"/>
    </row>
    <row r="238">
      <c r="A238" s="2" t="s">
        <v>1427</v>
      </c>
      <c r="B238" s="2" t="s">
        <v>17</v>
      </c>
      <c r="C238" s="4">
        <v>2025.0</v>
      </c>
      <c r="D238" s="4">
        <v>10.0</v>
      </c>
      <c r="E238" s="3">
        <v>46295.0</v>
      </c>
      <c r="F238" s="4">
        <v>1.0</v>
      </c>
      <c r="G238" s="2" t="s">
        <v>613</v>
      </c>
      <c r="H238" s="5" t="s">
        <v>1398</v>
      </c>
      <c r="J238" s="5">
        <v>1000000.0</v>
      </c>
      <c r="K238" s="4" t="s">
        <v>945</v>
      </c>
      <c r="L238" s="3">
        <v>46183.42285879629</v>
      </c>
      <c r="M238" s="2" t="s">
        <v>946</v>
      </c>
      <c r="N238" s="29"/>
      <c r="O238" s="29"/>
      <c r="S238" s="30"/>
      <c r="T238" s="30"/>
    </row>
    <row r="239">
      <c r="A239" s="2" t="s">
        <v>1428</v>
      </c>
      <c r="B239" s="2" t="s">
        <v>17</v>
      </c>
      <c r="C239" s="4">
        <v>2025.0</v>
      </c>
      <c r="D239" s="4">
        <v>10.0</v>
      </c>
      <c r="E239" s="3">
        <v>46308.0</v>
      </c>
      <c r="F239" s="4">
        <v>2.0</v>
      </c>
      <c r="G239" s="2" t="s">
        <v>602</v>
      </c>
      <c r="H239" s="5" t="s">
        <v>169</v>
      </c>
      <c r="I239" s="2" t="s">
        <v>1429</v>
      </c>
      <c r="J239" s="5">
        <v>2775840.0</v>
      </c>
      <c r="K239" s="4" t="s">
        <v>945</v>
      </c>
      <c r="L239" s="3">
        <v>46183.42285879629</v>
      </c>
      <c r="M239" s="2" t="s">
        <v>946</v>
      </c>
      <c r="N239" s="29"/>
      <c r="O239" s="29"/>
      <c r="S239" s="30"/>
      <c r="T239" s="30"/>
    </row>
    <row r="240">
      <c r="A240" s="2" t="s">
        <v>1430</v>
      </c>
      <c r="B240" s="2" t="s">
        <v>17</v>
      </c>
      <c r="C240" s="4">
        <v>2025.0</v>
      </c>
      <c r="D240" s="4">
        <v>10.0</v>
      </c>
      <c r="E240" s="3">
        <v>46308.0</v>
      </c>
      <c r="F240" s="4">
        <v>2.0</v>
      </c>
      <c r="G240" s="2" t="s">
        <v>602</v>
      </c>
      <c r="H240" s="5" t="s">
        <v>176</v>
      </c>
      <c r="I240" s="2" t="s">
        <v>1431</v>
      </c>
      <c r="J240" s="5">
        <v>3932440.0</v>
      </c>
      <c r="K240" s="4" t="s">
        <v>945</v>
      </c>
      <c r="L240" s="3">
        <v>46183.42285879629</v>
      </c>
      <c r="M240" s="2" t="s">
        <v>946</v>
      </c>
      <c r="N240" s="29"/>
      <c r="O240" s="29"/>
      <c r="S240" s="30"/>
      <c r="T240" s="30"/>
    </row>
    <row r="241">
      <c r="A241" s="2" t="s">
        <v>1432</v>
      </c>
      <c r="B241" s="2" t="s">
        <v>17</v>
      </c>
      <c r="C241" s="4">
        <v>2025.0</v>
      </c>
      <c r="D241" s="4">
        <v>10.0</v>
      </c>
      <c r="E241" s="3">
        <v>46308.0</v>
      </c>
      <c r="F241" s="4">
        <v>2.0</v>
      </c>
      <c r="G241" s="2" t="s">
        <v>602</v>
      </c>
      <c r="H241" s="5" t="s">
        <v>183</v>
      </c>
      <c r="J241" s="5">
        <v>700000.0</v>
      </c>
      <c r="K241" s="4" t="s">
        <v>945</v>
      </c>
      <c r="L241" s="3">
        <v>46183.42285879629</v>
      </c>
      <c r="M241" s="2" t="s">
        <v>946</v>
      </c>
      <c r="N241" s="29"/>
      <c r="O241" s="29"/>
      <c r="S241" s="30"/>
      <c r="T241" s="30"/>
    </row>
    <row r="242">
      <c r="A242" s="2" t="s">
        <v>1433</v>
      </c>
      <c r="B242" s="2" t="s">
        <v>17</v>
      </c>
      <c r="C242" s="4">
        <v>2025.0</v>
      </c>
      <c r="D242" s="4">
        <v>10.0</v>
      </c>
      <c r="E242" s="3">
        <v>46308.0</v>
      </c>
      <c r="F242" s="4">
        <v>2.0</v>
      </c>
      <c r="G242" s="2" t="s">
        <v>602</v>
      </c>
      <c r="H242" s="5" t="s">
        <v>188</v>
      </c>
      <c r="J242" s="5">
        <v>250000.0</v>
      </c>
      <c r="K242" s="4" t="s">
        <v>945</v>
      </c>
      <c r="L242" s="3">
        <v>46183.42285879629</v>
      </c>
      <c r="M242" s="2" t="s">
        <v>946</v>
      </c>
      <c r="N242" s="29"/>
      <c r="O242" s="29"/>
      <c r="S242" s="30"/>
      <c r="T242" s="30"/>
    </row>
    <row r="243">
      <c r="A243" s="2" t="s">
        <v>1434</v>
      </c>
      <c r="B243" s="2" t="s">
        <v>17</v>
      </c>
      <c r="C243" s="4">
        <v>2025.0</v>
      </c>
      <c r="D243" s="4">
        <v>10.0</v>
      </c>
      <c r="E243" s="3">
        <v>46308.0</v>
      </c>
      <c r="F243" s="4">
        <v>2.0</v>
      </c>
      <c r="G243" s="2" t="s">
        <v>613</v>
      </c>
      <c r="H243" s="5" t="s">
        <v>200</v>
      </c>
      <c r="J243" s="5">
        <v>220000.0</v>
      </c>
      <c r="K243" s="4" t="s">
        <v>945</v>
      </c>
      <c r="L243" s="3">
        <v>46183.42285879629</v>
      </c>
      <c r="M243" s="2" t="s">
        <v>946</v>
      </c>
      <c r="N243" s="29"/>
      <c r="O243" s="29"/>
      <c r="S243" s="30"/>
      <c r="T243" s="30"/>
    </row>
    <row r="244">
      <c r="A244" s="2" t="s">
        <v>1435</v>
      </c>
      <c r="B244" s="2" t="s">
        <v>17</v>
      </c>
      <c r="C244" s="4">
        <v>2025.0</v>
      </c>
      <c r="D244" s="4">
        <v>10.0</v>
      </c>
      <c r="E244" s="3">
        <v>46308.0</v>
      </c>
      <c r="F244" s="4">
        <v>2.0</v>
      </c>
      <c r="G244" s="2" t="s">
        <v>1156</v>
      </c>
      <c r="H244" s="5" t="s">
        <v>938</v>
      </c>
      <c r="J244" s="5">
        <v>6000000.0</v>
      </c>
      <c r="K244" s="4" t="s">
        <v>945</v>
      </c>
      <c r="L244" s="3">
        <v>46183.42285879629</v>
      </c>
      <c r="M244" s="2" t="s">
        <v>946</v>
      </c>
      <c r="N244" s="29"/>
      <c r="O244" s="29"/>
      <c r="S244" s="30"/>
      <c r="T244" s="30"/>
    </row>
    <row r="245">
      <c r="A245" s="2" t="s">
        <v>1436</v>
      </c>
      <c r="B245" s="2" t="s">
        <v>17</v>
      </c>
      <c r="C245" s="4">
        <v>2025.0</v>
      </c>
      <c r="D245" s="4">
        <v>10.0</v>
      </c>
      <c r="E245" s="3">
        <v>46308.0</v>
      </c>
      <c r="F245" s="4">
        <v>2.0</v>
      </c>
      <c r="G245" s="2" t="s">
        <v>613</v>
      </c>
      <c r="H245" s="5" t="s">
        <v>1437</v>
      </c>
      <c r="J245" s="5">
        <v>450000.0</v>
      </c>
      <c r="K245" s="4" t="s">
        <v>945</v>
      </c>
      <c r="L245" s="3">
        <v>46183.42285879629</v>
      </c>
      <c r="M245" s="2" t="s">
        <v>946</v>
      </c>
      <c r="N245" s="29"/>
      <c r="O245" s="29"/>
      <c r="S245" s="30"/>
      <c r="T245" s="30"/>
    </row>
    <row r="246">
      <c r="A246" s="2" t="s">
        <v>1438</v>
      </c>
      <c r="B246" s="2" t="s">
        <v>17</v>
      </c>
      <c r="C246" s="4">
        <v>2025.0</v>
      </c>
      <c r="D246" s="4">
        <v>10.0</v>
      </c>
      <c r="E246" s="3">
        <v>46308.0</v>
      </c>
      <c r="F246" s="4">
        <v>2.0</v>
      </c>
      <c r="G246" s="2" t="s">
        <v>613</v>
      </c>
      <c r="H246" s="5" t="s">
        <v>1439</v>
      </c>
      <c r="J246" s="5">
        <v>500000.0</v>
      </c>
      <c r="K246" s="4" t="s">
        <v>945</v>
      </c>
      <c r="L246" s="3">
        <v>46183.42285879629</v>
      </c>
      <c r="M246" s="2" t="s">
        <v>946</v>
      </c>
      <c r="N246" s="29"/>
      <c r="O246" s="29"/>
      <c r="S246" s="30"/>
      <c r="T246" s="30"/>
    </row>
    <row r="247">
      <c r="A247" s="2" t="s">
        <v>1440</v>
      </c>
      <c r="B247" s="2" t="s">
        <v>17</v>
      </c>
      <c r="C247" s="4">
        <v>2025.0</v>
      </c>
      <c r="D247" s="4">
        <v>10.0</v>
      </c>
      <c r="E247" s="3">
        <v>46308.0</v>
      </c>
      <c r="F247" s="4">
        <v>2.0</v>
      </c>
      <c r="G247" s="2" t="s">
        <v>613</v>
      </c>
      <c r="H247" s="5" t="s">
        <v>1441</v>
      </c>
      <c r="J247" s="5">
        <v>870000.0</v>
      </c>
      <c r="K247" s="4" t="s">
        <v>945</v>
      </c>
      <c r="L247" s="3">
        <v>46183.42285879629</v>
      </c>
      <c r="M247" s="2" t="s">
        <v>946</v>
      </c>
      <c r="N247" s="29"/>
      <c r="O247" s="29"/>
      <c r="S247" s="30"/>
      <c r="T247" s="30"/>
    </row>
    <row r="248">
      <c r="A248" s="2" t="s">
        <v>1442</v>
      </c>
      <c r="B248" s="2" t="s">
        <v>17</v>
      </c>
      <c r="C248" s="4">
        <v>2025.0</v>
      </c>
      <c r="D248" s="4">
        <v>10.0</v>
      </c>
      <c r="E248" s="3">
        <v>46308.0</v>
      </c>
      <c r="F248" s="4">
        <v>2.0</v>
      </c>
      <c r="G248" s="2" t="s">
        <v>613</v>
      </c>
      <c r="H248" s="5" t="s">
        <v>1443</v>
      </c>
      <c r="J248" s="5">
        <v>450000.0</v>
      </c>
      <c r="K248" s="4" t="s">
        <v>945</v>
      </c>
      <c r="L248" s="3">
        <v>46183.42285879629</v>
      </c>
      <c r="M248" s="2" t="s">
        <v>946</v>
      </c>
      <c r="N248" s="29"/>
      <c r="O248" s="29"/>
      <c r="S248" s="30"/>
      <c r="T248" s="30"/>
    </row>
    <row r="249">
      <c r="A249" s="2" t="s">
        <v>1444</v>
      </c>
      <c r="B249" s="2" t="s">
        <v>17</v>
      </c>
      <c r="C249" s="4">
        <v>2025.0</v>
      </c>
      <c r="D249" s="4">
        <v>10.0</v>
      </c>
      <c r="E249" s="3">
        <v>46308.0</v>
      </c>
      <c r="F249" s="4">
        <v>2.0</v>
      </c>
      <c r="G249" s="2" t="s">
        <v>613</v>
      </c>
      <c r="H249" s="5" t="s">
        <v>1445</v>
      </c>
      <c r="J249" s="5">
        <v>1000000.0</v>
      </c>
      <c r="K249" s="4" t="s">
        <v>945</v>
      </c>
      <c r="L249" s="3">
        <v>46183.42285879629</v>
      </c>
      <c r="M249" s="2" t="s">
        <v>946</v>
      </c>
      <c r="N249" s="29"/>
      <c r="O249" s="29"/>
      <c r="S249" s="30"/>
      <c r="T249" s="30"/>
    </row>
    <row r="250">
      <c r="A250" s="2" t="s">
        <v>1446</v>
      </c>
      <c r="B250" s="2" t="s">
        <v>17</v>
      </c>
      <c r="C250" s="4">
        <v>2025.0</v>
      </c>
      <c r="D250" s="4">
        <v>10.0</v>
      </c>
      <c r="E250" s="3">
        <v>46308.0</v>
      </c>
      <c r="F250" s="4">
        <v>2.0</v>
      </c>
      <c r="G250" s="2" t="s">
        <v>626</v>
      </c>
      <c r="H250" s="5" t="s">
        <v>239</v>
      </c>
      <c r="J250" s="5">
        <v>6450000.0</v>
      </c>
      <c r="K250" s="4" t="s">
        <v>945</v>
      </c>
      <c r="L250" s="3">
        <v>46183.42285879629</v>
      </c>
      <c r="M250" s="2" t="s">
        <v>946</v>
      </c>
      <c r="N250" s="29"/>
      <c r="O250" s="29"/>
      <c r="S250" s="30"/>
      <c r="T250" s="30"/>
    </row>
    <row r="251">
      <c r="A251" s="2" t="s">
        <v>1447</v>
      </c>
      <c r="B251" s="2" t="s">
        <v>17</v>
      </c>
      <c r="C251" s="4">
        <v>2025.0</v>
      </c>
      <c r="D251" s="4">
        <v>10.0</v>
      </c>
      <c r="E251" s="3">
        <v>46308.0</v>
      </c>
      <c r="F251" s="4">
        <v>2.0</v>
      </c>
      <c r="G251" s="2" t="s">
        <v>626</v>
      </c>
      <c r="H251" s="5" t="s">
        <v>248</v>
      </c>
      <c r="J251" s="5">
        <v>2520000.0</v>
      </c>
      <c r="K251" s="4" t="s">
        <v>945</v>
      </c>
      <c r="L251" s="3">
        <v>46183.42285879629</v>
      </c>
      <c r="M251" s="2" t="s">
        <v>946</v>
      </c>
      <c r="N251" s="29"/>
      <c r="O251" s="29"/>
      <c r="S251" s="30"/>
      <c r="T251" s="30"/>
    </row>
    <row r="252">
      <c r="A252" s="2" t="s">
        <v>1448</v>
      </c>
      <c r="B252" s="2" t="s">
        <v>17</v>
      </c>
      <c r="C252" s="4">
        <v>2025.0</v>
      </c>
      <c r="D252" s="4">
        <v>10.0</v>
      </c>
      <c r="E252" s="3">
        <v>46308.0</v>
      </c>
      <c r="F252" s="4">
        <v>2.0</v>
      </c>
      <c r="G252" s="2" t="s">
        <v>613</v>
      </c>
      <c r="H252" s="5" t="s">
        <v>1449</v>
      </c>
      <c r="J252" s="5">
        <v>600000.0</v>
      </c>
      <c r="K252" s="4" t="s">
        <v>945</v>
      </c>
      <c r="L252" s="3">
        <v>46183.42285879629</v>
      </c>
      <c r="M252" s="2" t="s">
        <v>946</v>
      </c>
      <c r="N252" s="29"/>
      <c r="O252" s="29"/>
      <c r="S252" s="30"/>
      <c r="T252" s="30"/>
    </row>
    <row r="253">
      <c r="A253" s="2" t="s">
        <v>1450</v>
      </c>
      <c r="B253" s="2" t="s">
        <v>17</v>
      </c>
      <c r="C253" s="4">
        <v>2025.0</v>
      </c>
      <c r="D253" s="4">
        <v>10.0</v>
      </c>
      <c r="E253" s="3">
        <v>46308.0</v>
      </c>
      <c r="F253" s="4">
        <v>2.0</v>
      </c>
      <c r="G253" s="2" t="s">
        <v>613</v>
      </c>
      <c r="H253" s="5" t="s">
        <v>233</v>
      </c>
      <c r="J253" s="5">
        <v>4500000.0</v>
      </c>
      <c r="K253" s="4" t="s">
        <v>945</v>
      </c>
      <c r="L253" s="3">
        <v>46183.42285879629</v>
      </c>
      <c r="M253" s="2" t="s">
        <v>946</v>
      </c>
      <c r="N253" s="29"/>
      <c r="O253" s="29"/>
      <c r="S253" s="30"/>
      <c r="T253" s="30"/>
    </row>
    <row r="254">
      <c r="A254" s="2" t="s">
        <v>1451</v>
      </c>
      <c r="B254" s="2" t="s">
        <v>17</v>
      </c>
      <c r="C254" s="4">
        <v>2025.0</v>
      </c>
      <c r="D254" s="4">
        <v>11.0</v>
      </c>
      <c r="E254" s="3">
        <v>46323.0</v>
      </c>
      <c r="F254" s="4">
        <v>1.0</v>
      </c>
      <c r="G254" s="2" t="s">
        <v>602</v>
      </c>
      <c r="H254" s="5" t="s">
        <v>169</v>
      </c>
      <c r="I254" s="2" t="s">
        <v>1452</v>
      </c>
      <c r="J254" s="5">
        <v>2512560.0</v>
      </c>
      <c r="K254" s="4" t="s">
        <v>945</v>
      </c>
      <c r="L254" s="3">
        <v>46183.42285879629</v>
      </c>
      <c r="M254" s="2" t="s">
        <v>946</v>
      </c>
      <c r="N254" s="29"/>
      <c r="O254" s="29"/>
      <c r="S254" s="30"/>
      <c r="T254" s="30"/>
    </row>
    <row r="255">
      <c r="A255" s="2" t="s">
        <v>1453</v>
      </c>
      <c r="B255" s="2" t="s">
        <v>17</v>
      </c>
      <c r="C255" s="4">
        <v>2025.0</v>
      </c>
      <c r="D255" s="4">
        <v>11.0</v>
      </c>
      <c r="E255" s="3">
        <v>46323.0</v>
      </c>
      <c r="F255" s="4">
        <v>1.0</v>
      </c>
      <c r="G255" s="2" t="s">
        <v>602</v>
      </c>
      <c r="H255" s="5" t="s">
        <v>176</v>
      </c>
      <c r="I255" s="2" t="s">
        <v>1454</v>
      </c>
      <c r="J255" s="5">
        <v>3559460.0</v>
      </c>
      <c r="K255" s="4" t="s">
        <v>945</v>
      </c>
      <c r="L255" s="3">
        <v>46183.42285879629</v>
      </c>
      <c r="M255" s="2" t="s">
        <v>946</v>
      </c>
      <c r="N255" s="29"/>
      <c r="O255" s="29"/>
      <c r="S255" s="30"/>
      <c r="T255" s="30"/>
    </row>
    <row r="256">
      <c r="A256" s="2" t="s">
        <v>1455</v>
      </c>
      <c r="B256" s="2" t="s">
        <v>17</v>
      </c>
      <c r="C256" s="4">
        <v>2025.0</v>
      </c>
      <c r="D256" s="4">
        <v>11.0</v>
      </c>
      <c r="E256" s="3">
        <v>46323.0</v>
      </c>
      <c r="F256" s="4">
        <v>1.0</v>
      </c>
      <c r="G256" s="2" t="s">
        <v>602</v>
      </c>
      <c r="H256" s="5" t="s">
        <v>183</v>
      </c>
      <c r="J256" s="5">
        <v>700000.0</v>
      </c>
      <c r="K256" s="4" t="s">
        <v>945</v>
      </c>
      <c r="L256" s="3">
        <v>46183.42285879629</v>
      </c>
      <c r="M256" s="2" t="s">
        <v>946</v>
      </c>
      <c r="N256" s="29"/>
      <c r="O256" s="29"/>
      <c r="S256" s="30"/>
      <c r="T256" s="30"/>
    </row>
    <row r="257">
      <c r="A257" s="2" t="s">
        <v>1456</v>
      </c>
      <c r="B257" s="2" t="s">
        <v>17</v>
      </c>
      <c r="C257" s="4">
        <v>2025.0</v>
      </c>
      <c r="D257" s="4">
        <v>11.0</v>
      </c>
      <c r="E257" s="3">
        <v>46323.0</v>
      </c>
      <c r="F257" s="4">
        <v>1.0</v>
      </c>
      <c r="G257" s="2" t="s">
        <v>602</v>
      </c>
      <c r="H257" s="5" t="s">
        <v>188</v>
      </c>
      <c r="J257" s="5">
        <v>200000.0</v>
      </c>
      <c r="K257" s="4" t="s">
        <v>945</v>
      </c>
      <c r="L257" s="3">
        <v>46183.42285879629</v>
      </c>
      <c r="M257" s="2" t="s">
        <v>946</v>
      </c>
      <c r="N257" s="29"/>
      <c r="O257" s="29"/>
      <c r="S257" s="30"/>
      <c r="T257" s="30"/>
    </row>
    <row r="258">
      <c r="A258" s="2" t="s">
        <v>1457</v>
      </c>
      <c r="B258" s="2" t="s">
        <v>17</v>
      </c>
      <c r="C258" s="4">
        <v>2025.0</v>
      </c>
      <c r="D258" s="4">
        <v>11.0</v>
      </c>
      <c r="E258" s="3">
        <v>46323.0</v>
      </c>
      <c r="F258" s="4">
        <v>1.0</v>
      </c>
      <c r="G258" s="2" t="s">
        <v>613</v>
      </c>
      <c r="H258" s="5" t="s">
        <v>200</v>
      </c>
      <c r="J258" s="5">
        <v>220000.0</v>
      </c>
      <c r="K258" s="4" t="s">
        <v>945</v>
      </c>
      <c r="L258" s="3">
        <v>46183.42285879629</v>
      </c>
      <c r="M258" s="2" t="s">
        <v>946</v>
      </c>
      <c r="N258" s="29"/>
      <c r="O258" s="29"/>
      <c r="S258" s="30"/>
      <c r="T258" s="30"/>
    </row>
    <row r="259">
      <c r="A259" s="2" t="s">
        <v>1458</v>
      </c>
      <c r="B259" s="2" t="s">
        <v>17</v>
      </c>
      <c r="C259" s="4">
        <v>2025.0</v>
      </c>
      <c r="D259" s="4">
        <v>11.0</v>
      </c>
      <c r="E259" s="3">
        <v>46323.0</v>
      </c>
      <c r="F259" s="4">
        <v>1.0</v>
      </c>
      <c r="G259" s="2" t="s">
        <v>607</v>
      </c>
      <c r="H259" s="5" t="s">
        <v>1459</v>
      </c>
      <c r="J259" s="5">
        <v>5.1744E7</v>
      </c>
      <c r="K259" s="4" t="s">
        <v>945</v>
      </c>
      <c r="L259" s="3">
        <v>46183.42285879629</v>
      </c>
      <c r="M259" s="2" t="s">
        <v>946</v>
      </c>
      <c r="N259" s="29"/>
      <c r="O259" s="29"/>
      <c r="S259" s="30"/>
      <c r="T259" s="30"/>
    </row>
    <row r="260">
      <c r="A260" s="2" t="s">
        <v>1460</v>
      </c>
      <c r="B260" s="2" t="s">
        <v>17</v>
      </c>
      <c r="C260" s="4">
        <v>2025.0</v>
      </c>
      <c r="D260" s="4">
        <v>11.0</v>
      </c>
      <c r="E260" s="3">
        <v>46323.0</v>
      </c>
      <c r="F260" s="4">
        <v>1.0</v>
      </c>
      <c r="G260" s="2" t="s">
        <v>607</v>
      </c>
      <c r="H260" s="5" t="s">
        <v>197</v>
      </c>
      <c r="J260" s="5">
        <v>3300000.0</v>
      </c>
      <c r="K260" s="4" t="s">
        <v>945</v>
      </c>
      <c r="L260" s="3">
        <v>46183.42285879629</v>
      </c>
      <c r="M260" s="2" t="s">
        <v>946</v>
      </c>
      <c r="N260" s="29"/>
      <c r="O260" s="29"/>
      <c r="S260" s="30"/>
      <c r="T260" s="30"/>
    </row>
    <row r="261">
      <c r="A261" s="2" t="s">
        <v>1461</v>
      </c>
      <c r="B261" s="2" t="s">
        <v>17</v>
      </c>
      <c r="C261" s="4">
        <v>2025.0</v>
      </c>
      <c r="D261" s="4">
        <v>11.0</v>
      </c>
      <c r="E261" s="3">
        <v>46323.0</v>
      </c>
      <c r="F261" s="4">
        <v>1.0</v>
      </c>
      <c r="G261" s="2" t="s">
        <v>607</v>
      </c>
      <c r="H261" s="5" t="s">
        <v>1462</v>
      </c>
      <c r="J261" s="5">
        <v>450000.0</v>
      </c>
      <c r="K261" s="4" t="s">
        <v>945</v>
      </c>
      <c r="L261" s="3">
        <v>46183.42285879629</v>
      </c>
      <c r="M261" s="2" t="s">
        <v>946</v>
      </c>
      <c r="N261" s="29"/>
      <c r="O261" s="29"/>
      <c r="S261" s="30"/>
      <c r="T261" s="30"/>
    </row>
    <row r="262">
      <c r="A262" s="2" t="s">
        <v>1463</v>
      </c>
      <c r="B262" s="2" t="s">
        <v>17</v>
      </c>
      <c r="C262" s="4">
        <v>2025.0</v>
      </c>
      <c r="D262" s="4">
        <v>11.0</v>
      </c>
      <c r="E262" s="3">
        <v>46323.0</v>
      </c>
      <c r="F262" s="4">
        <v>1.0</v>
      </c>
      <c r="G262" s="2" t="s">
        <v>613</v>
      </c>
      <c r="H262" s="5" t="s">
        <v>211</v>
      </c>
      <c r="J262" s="5">
        <v>1272000.0</v>
      </c>
      <c r="K262" s="4" t="s">
        <v>945</v>
      </c>
      <c r="L262" s="3">
        <v>46183.42285879629</v>
      </c>
      <c r="M262" s="2" t="s">
        <v>946</v>
      </c>
      <c r="N262" s="29"/>
      <c r="O262" s="29"/>
      <c r="S262" s="30"/>
      <c r="T262" s="30"/>
    </row>
    <row r="263">
      <c r="A263" s="2" t="s">
        <v>1464</v>
      </c>
      <c r="B263" s="2" t="s">
        <v>17</v>
      </c>
      <c r="C263" s="4">
        <v>2025.0</v>
      </c>
      <c r="D263" s="4">
        <v>11.0</v>
      </c>
      <c r="E263" s="3">
        <v>46323.0</v>
      </c>
      <c r="F263" s="4">
        <v>1.0</v>
      </c>
      <c r="G263" s="2" t="s">
        <v>613</v>
      </c>
      <c r="H263" s="5" t="s">
        <v>1080</v>
      </c>
      <c r="J263" s="5">
        <v>780000.0</v>
      </c>
      <c r="K263" s="4" t="s">
        <v>945</v>
      </c>
      <c r="L263" s="3">
        <v>46183.42285879629</v>
      </c>
      <c r="M263" s="2" t="s">
        <v>946</v>
      </c>
      <c r="N263" s="29"/>
      <c r="O263" s="29"/>
      <c r="S263" s="30"/>
      <c r="T263" s="30"/>
    </row>
    <row r="264">
      <c r="A264" s="2" t="s">
        <v>1465</v>
      </c>
      <c r="B264" s="2" t="s">
        <v>17</v>
      </c>
      <c r="C264" s="4">
        <v>2025.0</v>
      </c>
      <c r="D264" s="4">
        <v>11.0</v>
      </c>
      <c r="E264" s="3">
        <v>46323.0</v>
      </c>
      <c r="F264" s="4">
        <v>1.0</v>
      </c>
      <c r="G264" s="2" t="s">
        <v>613</v>
      </c>
      <c r="H264" s="5" t="s">
        <v>1466</v>
      </c>
      <c r="J264" s="5">
        <v>700000.0</v>
      </c>
      <c r="K264" s="4" t="s">
        <v>945</v>
      </c>
      <c r="L264" s="3">
        <v>46183.42285879629</v>
      </c>
      <c r="M264" s="2" t="s">
        <v>946</v>
      </c>
      <c r="N264" s="29"/>
      <c r="O264" s="29"/>
      <c r="S264" s="30"/>
      <c r="T264" s="30"/>
    </row>
    <row r="265">
      <c r="A265" s="2" t="s">
        <v>1467</v>
      </c>
      <c r="B265" s="2" t="s">
        <v>17</v>
      </c>
      <c r="C265" s="4">
        <v>2025.0</v>
      </c>
      <c r="D265" s="4">
        <v>11.0</v>
      </c>
      <c r="E265" s="3">
        <v>46323.0</v>
      </c>
      <c r="F265" s="4">
        <v>1.0</v>
      </c>
      <c r="G265" s="2" t="s">
        <v>613</v>
      </c>
      <c r="H265" s="5" t="s">
        <v>1119</v>
      </c>
      <c r="J265" s="5">
        <v>2800000.0</v>
      </c>
      <c r="K265" s="4" t="s">
        <v>945</v>
      </c>
      <c r="L265" s="3">
        <v>46183.42285879629</v>
      </c>
      <c r="M265" s="2" t="s">
        <v>946</v>
      </c>
      <c r="N265" s="29"/>
      <c r="O265" s="29"/>
      <c r="S265" s="30"/>
      <c r="T265" s="30"/>
    </row>
    <row r="266">
      <c r="A266" s="2" t="s">
        <v>1468</v>
      </c>
      <c r="B266" s="2" t="s">
        <v>17</v>
      </c>
      <c r="C266" s="4">
        <v>2025.0</v>
      </c>
      <c r="D266" s="4">
        <v>11.0</v>
      </c>
      <c r="E266" s="3">
        <v>46335.0</v>
      </c>
      <c r="F266" s="4">
        <v>2.0</v>
      </c>
      <c r="G266" s="2" t="s">
        <v>602</v>
      </c>
      <c r="H266" s="5" t="s">
        <v>169</v>
      </c>
      <c r="I266" s="2" t="s">
        <v>1469</v>
      </c>
      <c r="J266" s="5">
        <v>2791560.0</v>
      </c>
      <c r="K266" s="4" t="s">
        <v>945</v>
      </c>
      <c r="L266" s="3">
        <v>46183.42285879629</v>
      </c>
      <c r="M266" s="2" t="s">
        <v>946</v>
      </c>
      <c r="N266" s="29"/>
      <c r="O266" s="29"/>
      <c r="S266" s="30"/>
      <c r="T266" s="30"/>
    </row>
    <row r="267">
      <c r="A267" s="2" t="s">
        <v>1470</v>
      </c>
      <c r="B267" s="2" t="s">
        <v>17</v>
      </c>
      <c r="C267" s="4">
        <v>2025.0</v>
      </c>
      <c r="D267" s="4">
        <v>11.0</v>
      </c>
      <c r="E267" s="3">
        <v>46335.0</v>
      </c>
      <c r="F267" s="4">
        <v>2.0</v>
      </c>
      <c r="G267" s="2" t="s">
        <v>602</v>
      </c>
      <c r="H267" s="5" t="s">
        <v>176</v>
      </c>
      <c r="I267" s="2" t="s">
        <v>1471</v>
      </c>
      <c r="J267" s="5">
        <v>3954710.0</v>
      </c>
      <c r="K267" s="4" t="s">
        <v>945</v>
      </c>
      <c r="L267" s="3">
        <v>46183.42285879629</v>
      </c>
      <c r="M267" s="2" t="s">
        <v>946</v>
      </c>
      <c r="N267" s="29"/>
      <c r="O267" s="29"/>
      <c r="S267" s="30"/>
      <c r="T267" s="30"/>
    </row>
    <row r="268">
      <c r="A268" s="2" t="s">
        <v>1472</v>
      </c>
      <c r="B268" s="2" t="s">
        <v>17</v>
      </c>
      <c r="C268" s="4">
        <v>2025.0</v>
      </c>
      <c r="D268" s="4">
        <v>11.0</v>
      </c>
      <c r="E268" s="3">
        <v>46335.0</v>
      </c>
      <c r="F268" s="4">
        <v>2.0</v>
      </c>
      <c r="G268" s="2" t="s">
        <v>602</v>
      </c>
      <c r="H268" s="5" t="s">
        <v>183</v>
      </c>
      <c r="J268" s="5">
        <v>700000.0</v>
      </c>
      <c r="K268" s="4" t="s">
        <v>945</v>
      </c>
      <c r="L268" s="3">
        <v>46183.42285879629</v>
      </c>
      <c r="M268" s="2" t="s">
        <v>946</v>
      </c>
      <c r="N268" s="29"/>
      <c r="O268" s="29"/>
      <c r="S268" s="30"/>
      <c r="T268" s="30"/>
    </row>
    <row r="269">
      <c r="A269" s="2" t="s">
        <v>1473</v>
      </c>
      <c r="B269" s="2" t="s">
        <v>17</v>
      </c>
      <c r="C269" s="4">
        <v>2025.0</v>
      </c>
      <c r="D269" s="4">
        <v>11.0</v>
      </c>
      <c r="E269" s="3">
        <v>46335.0</v>
      </c>
      <c r="F269" s="4">
        <v>2.0</v>
      </c>
      <c r="G269" s="2" t="s">
        <v>602</v>
      </c>
      <c r="H269" s="5" t="s">
        <v>188</v>
      </c>
      <c r="J269" s="5">
        <v>200000.0</v>
      </c>
      <c r="K269" s="4" t="s">
        <v>945</v>
      </c>
      <c r="L269" s="3">
        <v>46183.42285879629</v>
      </c>
      <c r="M269" s="2" t="s">
        <v>946</v>
      </c>
      <c r="N269" s="29"/>
      <c r="O269" s="29"/>
      <c r="S269" s="30"/>
      <c r="T269" s="30"/>
    </row>
    <row r="270">
      <c r="A270" s="2" t="s">
        <v>1474</v>
      </c>
      <c r="B270" s="2" t="s">
        <v>17</v>
      </c>
      <c r="C270" s="4">
        <v>2025.0</v>
      </c>
      <c r="D270" s="4">
        <v>11.0</v>
      </c>
      <c r="E270" s="3">
        <v>46335.0</v>
      </c>
      <c r="F270" s="4">
        <v>2.0</v>
      </c>
      <c r="G270" s="2" t="s">
        <v>607</v>
      </c>
      <c r="H270" s="5" t="s">
        <v>1224</v>
      </c>
      <c r="J270" s="5">
        <v>4.94E7</v>
      </c>
      <c r="K270" s="4" t="s">
        <v>945</v>
      </c>
      <c r="L270" s="3">
        <v>46183.42285879629</v>
      </c>
      <c r="M270" s="2" t="s">
        <v>946</v>
      </c>
      <c r="N270" s="29"/>
      <c r="O270" s="29"/>
      <c r="S270" s="30"/>
      <c r="T270" s="30"/>
    </row>
    <row r="271">
      <c r="A271" s="2" t="s">
        <v>1475</v>
      </c>
      <c r="B271" s="2" t="s">
        <v>17</v>
      </c>
      <c r="C271" s="4">
        <v>2025.0</v>
      </c>
      <c r="D271" s="4">
        <v>11.0</v>
      </c>
      <c r="E271" s="3">
        <v>46335.0</v>
      </c>
      <c r="F271" s="4">
        <v>2.0</v>
      </c>
      <c r="G271" s="2" t="s">
        <v>607</v>
      </c>
      <c r="H271" s="5" t="s">
        <v>197</v>
      </c>
      <c r="J271" s="5">
        <v>3250000.0</v>
      </c>
      <c r="K271" s="4" t="s">
        <v>945</v>
      </c>
      <c r="L271" s="3">
        <v>46183.42285879629</v>
      </c>
      <c r="M271" s="2" t="s">
        <v>946</v>
      </c>
      <c r="N271" s="29"/>
      <c r="O271" s="29"/>
      <c r="S271" s="30"/>
      <c r="T271" s="30"/>
    </row>
    <row r="272">
      <c r="A272" s="2" t="s">
        <v>1476</v>
      </c>
      <c r="B272" s="2" t="s">
        <v>17</v>
      </c>
      <c r="C272" s="4">
        <v>2025.0</v>
      </c>
      <c r="D272" s="4">
        <v>11.0</v>
      </c>
      <c r="E272" s="3">
        <v>46335.0</v>
      </c>
      <c r="F272" s="4">
        <v>2.0</v>
      </c>
      <c r="G272" s="2" t="s">
        <v>602</v>
      </c>
      <c r="H272" s="5" t="s">
        <v>1477</v>
      </c>
      <c r="J272" s="5">
        <v>550000.0</v>
      </c>
      <c r="K272" s="4" t="s">
        <v>945</v>
      </c>
      <c r="L272" s="3">
        <v>46183.42285879629</v>
      </c>
      <c r="M272" s="2" t="s">
        <v>946</v>
      </c>
      <c r="N272" s="29"/>
      <c r="O272" s="29"/>
      <c r="S272" s="30"/>
      <c r="T272" s="30"/>
    </row>
    <row r="273">
      <c r="A273" s="2" t="s">
        <v>1478</v>
      </c>
      <c r="B273" s="2" t="s">
        <v>17</v>
      </c>
      <c r="C273" s="4">
        <v>2025.0</v>
      </c>
      <c r="D273" s="4">
        <v>11.0</v>
      </c>
      <c r="E273" s="3">
        <v>46335.0</v>
      </c>
      <c r="F273" s="4">
        <v>2.0</v>
      </c>
      <c r="G273" s="2" t="s">
        <v>237</v>
      </c>
      <c r="H273" s="5" t="s">
        <v>1479</v>
      </c>
      <c r="J273" s="5">
        <v>1.0E7</v>
      </c>
      <c r="K273" s="4" t="s">
        <v>945</v>
      </c>
      <c r="L273" s="3">
        <v>46183.42285879629</v>
      </c>
      <c r="M273" s="2" t="s">
        <v>946</v>
      </c>
      <c r="N273" s="29"/>
      <c r="O273" s="29"/>
      <c r="S273" s="30"/>
      <c r="T273" s="30"/>
    </row>
    <row r="274">
      <c r="A274" s="2" t="s">
        <v>1480</v>
      </c>
      <c r="B274" s="2" t="s">
        <v>17</v>
      </c>
      <c r="C274" s="4">
        <v>2025.0</v>
      </c>
      <c r="D274" s="4">
        <v>11.0</v>
      </c>
      <c r="E274" s="3">
        <v>46335.0</v>
      </c>
      <c r="F274" s="4">
        <v>2.0</v>
      </c>
      <c r="G274" s="2" t="s">
        <v>613</v>
      </c>
      <c r="H274" s="5" t="s">
        <v>935</v>
      </c>
      <c r="J274" s="5">
        <v>5155000.0</v>
      </c>
      <c r="K274" s="4" t="s">
        <v>945</v>
      </c>
      <c r="L274" s="3">
        <v>46183.42285879629</v>
      </c>
      <c r="M274" s="2" t="s">
        <v>946</v>
      </c>
      <c r="N274" s="29"/>
      <c r="O274" s="29"/>
      <c r="S274" s="30"/>
      <c r="T274" s="30"/>
    </row>
    <row r="275">
      <c r="A275" s="2" t="s">
        <v>1481</v>
      </c>
      <c r="B275" s="2" t="s">
        <v>17</v>
      </c>
      <c r="C275" s="4">
        <v>2025.0</v>
      </c>
      <c r="D275" s="4">
        <v>11.0</v>
      </c>
      <c r="E275" s="3">
        <v>46335.0</v>
      </c>
      <c r="F275" s="4">
        <v>2.0</v>
      </c>
      <c r="G275" s="2" t="s">
        <v>613</v>
      </c>
      <c r="H275" s="5" t="s">
        <v>233</v>
      </c>
      <c r="J275" s="5">
        <v>4500000.0</v>
      </c>
      <c r="K275" s="4" t="s">
        <v>945</v>
      </c>
      <c r="L275" s="3">
        <v>46183.42285879629</v>
      </c>
      <c r="M275" s="2" t="s">
        <v>946</v>
      </c>
      <c r="N275" s="29"/>
      <c r="O275" s="29"/>
      <c r="S275" s="30"/>
      <c r="T275" s="30"/>
    </row>
    <row r="276">
      <c r="A276" s="2" t="s">
        <v>1482</v>
      </c>
      <c r="B276" s="2" t="s">
        <v>17</v>
      </c>
      <c r="C276" s="4">
        <v>2025.0</v>
      </c>
      <c r="D276" s="4">
        <v>11.0</v>
      </c>
      <c r="E276" s="3">
        <v>46335.0</v>
      </c>
      <c r="F276" s="4">
        <v>2.0</v>
      </c>
      <c r="G276" s="2" t="s">
        <v>626</v>
      </c>
      <c r="H276" s="5" t="s">
        <v>248</v>
      </c>
      <c r="J276" s="5">
        <v>2760000.0</v>
      </c>
      <c r="K276" s="4" t="s">
        <v>945</v>
      </c>
      <c r="L276" s="3">
        <v>46183.42285879629</v>
      </c>
      <c r="M276" s="2" t="s">
        <v>946</v>
      </c>
      <c r="N276" s="29"/>
      <c r="O276" s="29"/>
      <c r="S276" s="30"/>
      <c r="T276" s="30"/>
    </row>
    <row r="277">
      <c r="A277" s="2" t="s">
        <v>1483</v>
      </c>
      <c r="B277" s="2" t="s">
        <v>17</v>
      </c>
      <c r="C277" s="4">
        <v>2025.0</v>
      </c>
      <c r="D277" s="4">
        <v>11.0</v>
      </c>
      <c r="E277" s="3">
        <v>46335.0</v>
      </c>
      <c r="F277" s="4">
        <v>2.0</v>
      </c>
      <c r="G277" s="2" t="s">
        <v>613</v>
      </c>
      <c r="H277" s="5" t="s">
        <v>200</v>
      </c>
      <c r="J277" s="5">
        <v>220000.0</v>
      </c>
      <c r="K277" s="4" t="s">
        <v>945</v>
      </c>
      <c r="L277" s="3">
        <v>46183.42285879629</v>
      </c>
      <c r="M277" s="2" t="s">
        <v>946</v>
      </c>
      <c r="N277" s="29"/>
      <c r="O277" s="29"/>
      <c r="S277" s="30"/>
      <c r="T277" s="30"/>
    </row>
    <row r="278">
      <c r="A278" s="2" t="s">
        <v>1484</v>
      </c>
      <c r="B278" s="2" t="s">
        <v>17</v>
      </c>
      <c r="C278" s="4">
        <v>2025.0</v>
      </c>
      <c r="D278" s="4">
        <v>11.0</v>
      </c>
      <c r="E278" s="3">
        <v>46335.0</v>
      </c>
      <c r="F278" s="4">
        <v>2.0</v>
      </c>
      <c r="G278" s="2" t="s">
        <v>626</v>
      </c>
      <c r="H278" s="5" t="s">
        <v>239</v>
      </c>
      <c r="J278" s="5">
        <v>8650000.0</v>
      </c>
      <c r="K278" s="4" t="s">
        <v>945</v>
      </c>
      <c r="L278" s="3">
        <v>46183.42285879629</v>
      </c>
      <c r="M278" s="2" t="s">
        <v>946</v>
      </c>
      <c r="N278" s="29"/>
      <c r="O278" s="29"/>
      <c r="S278" s="30"/>
      <c r="T278" s="30"/>
    </row>
    <row r="279">
      <c r="A279" s="2" t="s">
        <v>1485</v>
      </c>
      <c r="B279" s="2" t="s">
        <v>17</v>
      </c>
      <c r="C279" s="4">
        <v>2025.0</v>
      </c>
      <c r="D279" s="4">
        <v>12.0</v>
      </c>
      <c r="E279" s="3">
        <v>46350.0</v>
      </c>
      <c r="F279" s="4">
        <v>1.0</v>
      </c>
      <c r="G279" s="2" t="s">
        <v>602</v>
      </c>
      <c r="H279" s="5" t="s">
        <v>169</v>
      </c>
      <c r="I279" s="2" t="s">
        <v>1486</v>
      </c>
      <c r="J279" s="5">
        <v>3576840.0</v>
      </c>
      <c r="K279" s="4" t="s">
        <v>945</v>
      </c>
      <c r="L279" s="3">
        <v>46183.42285879629</v>
      </c>
      <c r="M279" s="2" t="s">
        <v>946</v>
      </c>
      <c r="N279" s="29"/>
      <c r="O279" s="29"/>
      <c r="S279" s="30"/>
      <c r="T279" s="30"/>
    </row>
    <row r="280">
      <c r="A280" s="2" t="s">
        <v>1487</v>
      </c>
      <c r="B280" s="2" t="s">
        <v>17</v>
      </c>
      <c r="C280" s="4">
        <v>2025.0</v>
      </c>
      <c r="D280" s="4">
        <v>12.0</v>
      </c>
      <c r="E280" s="3">
        <v>46350.0</v>
      </c>
      <c r="F280" s="4">
        <v>1.0</v>
      </c>
      <c r="G280" s="2" t="s">
        <v>602</v>
      </c>
      <c r="H280" s="5" t="s">
        <v>176</v>
      </c>
      <c r="I280" s="2" t="s">
        <v>1488</v>
      </c>
      <c r="J280" s="5">
        <v>5067190.0</v>
      </c>
      <c r="K280" s="4" t="s">
        <v>945</v>
      </c>
      <c r="L280" s="3">
        <v>46183.42285879629</v>
      </c>
      <c r="M280" s="2" t="s">
        <v>946</v>
      </c>
      <c r="N280" s="29"/>
      <c r="O280" s="29"/>
      <c r="S280" s="30"/>
      <c r="T280" s="30"/>
    </row>
    <row r="281">
      <c r="A281" s="2" t="s">
        <v>1489</v>
      </c>
      <c r="B281" s="2" t="s">
        <v>17</v>
      </c>
      <c r="C281" s="4">
        <v>2025.0</v>
      </c>
      <c r="D281" s="4">
        <v>12.0</v>
      </c>
      <c r="E281" s="3">
        <v>46350.0</v>
      </c>
      <c r="F281" s="4">
        <v>1.0</v>
      </c>
      <c r="G281" s="2" t="s">
        <v>602</v>
      </c>
      <c r="H281" s="5" t="s">
        <v>183</v>
      </c>
      <c r="J281" s="5">
        <v>700000.0</v>
      </c>
      <c r="K281" s="4" t="s">
        <v>945</v>
      </c>
      <c r="L281" s="3">
        <v>46183.42285879629</v>
      </c>
      <c r="M281" s="2" t="s">
        <v>946</v>
      </c>
      <c r="N281" s="29"/>
      <c r="O281" s="29"/>
      <c r="S281" s="30"/>
      <c r="T281" s="30"/>
    </row>
    <row r="282">
      <c r="A282" s="2" t="s">
        <v>1490</v>
      </c>
      <c r="B282" s="2" t="s">
        <v>17</v>
      </c>
      <c r="C282" s="4">
        <v>2025.0</v>
      </c>
      <c r="D282" s="4">
        <v>12.0</v>
      </c>
      <c r="E282" s="3">
        <v>46350.0</v>
      </c>
      <c r="F282" s="4">
        <v>1.0</v>
      </c>
      <c r="G282" s="2" t="s">
        <v>602</v>
      </c>
      <c r="H282" s="5" t="s">
        <v>188</v>
      </c>
      <c r="J282" s="5">
        <v>300000.0</v>
      </c>
      <c r="K282" s="4" t="s">
        <v>945</v>
      </c>
      <c r="L282" s="3">
        <v>46183.42285879629</v>
      </c>
      <c r="M282" s="2" t="s">
        <v>946</v>
      </c>
      <c r="N282" s="29"/>
      <c r="O282" s="29"/>
      <c r="S282" s="30"/>
      <c r="T282" s="30"/>
    </row>
    <row r="283">
      <c r="A283" s="2" t="s">
        <v>1491</v>
      </c>
      <c r="B283" s="2" t="s">
        <v>17</v>
      </c>
      <c r="C283" s="4">
        <v>2025.0</v>
      </c>
      <c r="D283" s="4">
        <v>12.0</v>
      </c>
      <c r="E283" s="3">
        <v>46350.0</v>
      </c>
      <c r="F283" s="4">
        <v>1.0</v>
      </c>
      <c r="G283" s="2" t="s">
        <v>613</v>
      </c>
      <c r="H283" s="5" t="s">
        <v>200</v>
      </c>
      <c r="J283" s="5">
        <v>220000.0</v>
      </c>
      <c r="K283" s="4" t="s">
        <v>945</v>
      </c>
      <c r="L283" s="3">
        <v>46183.42285879629</v>
      </c>
      <c r="M283" s="2" t="s">
        <v>946</v>
      </c>
      <c r="N283" s="29"/>
      <c r="O283" s="29"/>
      <c r="S283" s="30"/>
      <c r="T283" s="30"/>
    </row>
    <row r="284">
      <c r="A284" s="2" t="s">
        <v>1492</v>
      </c>
      <c r="B284" s="2" t="s">
        <v>17</v>
      </c>
      <c r="C284" s="4">
        <v>2025.0</v>
      </c>
      <c r="D284" s="4">
        <v>12.0</v>
      </c>
      <c r="E284" s="3">
        <v>46350.0</v>
      </c>
      <c r="F284" s="4">
        <v>1.0</v>
      </c>
      <c r="G284" s="2" t="s">
        <v>613</v>
      </c>
      <c r="H284" s="5" t="s">
        <v>235</v>
      </c>
      <c r="J284" s="5">
        <v>300000.0</v>
      </c>
      <c r="K284" s="4" t="s">
        <v>945</v>
      </c>
      <c r="L284" s="3">
        <v>46183.42285879629</v>
      </c>
      <c r="M284" s="2" t="s">
        <v>946</v>
      </c>
      <c r="N284" s="29"/>
      <c r="O284" s="29"/>
      <c r="S284" s="30"/>
      <c r="T284" s="30"/>
    </row>
    <row r="285">
      <c r="A285" s="2" t="s">
        <v>1493</v>
      </c>
      <c r="B285" s="2" t="s">
        <v>17</v>
      </c>
      <c r="C285" s="4">
        <v>2025.0</v>
      </c>
      <c r="D285" s="4">
        <v>12.0</v>
      </c>
      <c r="E285" s="3">
        <v>46350.0</v>
      </c>
      <c r="F285" s="4">
        <v>1.0</v>
      </c>
      <c r="G285" s="2" t="s">
        <v>237</v>
      </c>
      <c r="H285" s="5" t="s">
        <v>237</v>
      </c>
      <c r="I285" s="2" t="s">
        <v>1494</v>
      </c>
      <c r="J285" s="5">
        <v>1.1E7</v>
      </c>
      <c r="K285" s="4" t="s">
        <v>945</v>
      </c>
      <c r="L285" s="3">
        <v>46183.42285879629</v>
      </c>
      <c r="M285" s="2" t="s">
        <v>946</v>
      </c>
      <c r="N285" s="29"/>
      <c r="O285" s="29"/>
      <c r="S285" s="30"/>
      <c r="T285" s="30"/>
    </row>
    <row r="286">
      <c r="A286" s="2" t="s">
        <v>1495</v>
      </c>
      <c r="B286" s="2" t="s">
        <v>17</v>
      </c>
      <c r="C286" s="4">
        <v>2025.0</v>
      </c>
      <c r="D286" s="4">
        <v>12.0</v>
      </c>
      <c r="E286" s="3">
        <v>46350.0</v>
      </c>
      <c r="F286" s="4">
        <v>1.0</v>
      </c>
      <c r="G286" s="2" t="s">
        <v>613</v>
      </c>
      <c r="H286" s="5" t="s">
        <v>1496</v>
      </c>
      <c r="J286" s="5">
        <v>1236000.0</v>
      </c>
      <c r="K286" s="4" t="s">
        <v>945</v>
      </c>
      <c r="L286" s="3">
        <v>46183.42285879629</v>
      </c>
      <c r="M286" s="2" t="s">
        <v>946</v>
      </c>
      <c r="N286" s="29"/>
      <c r="O286" s="29"/>
      <c r="S286" s="30"/>
      <c r="T286" s="30"/>
    </row>
    <row r="287">
      <c r="A287" s="2" t="s">
        <v>1497</v>
      </c>
      <c r="B287" s="2" t="s">
        <v>17</v>
      </c>
      <c r="C287" s="4">
        <v>2025.0</v>
      </c>
      <c r="D287" s="4">
        <v>12.0</v>
      </c>
      <c r="E287" s="3">
        <v>46350.0</v>
      </c>
      <c r="F287" s="4">
        <v>1.0</v>
      </c>
      <c r="G287" s="2" t="s">
        <v>613</v>
      </c>
      <c r="H287" s="5" t="s">
        <v>1080</v>
      </c>
      <c r="J287" s="5">
        <v>780000.0</v>
      </c>
      <c r="K287" s="4" t="s">
        <v>945</v>
      </c>
      <c r="L287" s="3">
        <v>46183.42285879629</v>
      </c>
      <c r="M287" s="2" t="s">
        <v>946</v>
      </c>
      <c r="N287" s="29"/>
      <c r="O287" s="29"/>
      <c r="S287" s="30"/>
      <c r="T287" s="30"/>
    </row>
    <row r="288">
      <c r="A288" s="2" t="s">
        <v>1498</v>
      </c>
      <c r="B288" s="2" t="s">
        <v>17</v>
      </c>
      <c r="C288" s="4">
        <v>2025.0</v>
      </c>
      <c r="D288" s="4">
        <v>12.0</v>
      </c>
      <c r="E288" s="3">
        <v>46350.0</v>
      </c>
      <c r="F288" s="4">
        <v>1.0</v>
      </c>
      <c r="G288" s="2" t="s">
        <v>613</v>
      </c>
      <c r="H288" s="5" t="s">
        <v>1499</v>
      </c>
      <c r="J288" s="5">
        <v>3500000.0</v>
      </c>
      <c r="K288" s="4" t="s">
        <v>945</v>
      </c>
      <c r="L288" s="3">
        <v>46183.42285879629</v>
      </c>
      <c r="M288" s="2" t="s">
        <v>946</v>
      </c>
      <c r="N288" s="29"/>
      <c r="O288" s="29"/>
      <c r="S288" s="30"/>
      <c r="T288" s="30"/>
    </row>
    <row r="289">
      <c r="A289" s="2" t="s">
        <v>1500</v>
      </c>
      <c r="B289" s="2" t="s">
        <v>17</v>
      </c>
      <c r="C289" s="4">
        <v>2025.0</v>
      </c>
      <c r="D289" s="4">
        <v>12.0</v>
      </c>
      <c r="E289" s="3">
        <v>46375.0</v>
      </c>
      <c r="F289" s="4">
        <v>2.0</v>
      </c>
      <c r="G289" s="2" t="s">
        <v>602</v>
      </c>
      <c r="H289" s="5" t="s">
        <v>169</v>
      </c>
      <c r="I289" s="2" t="s">
        <v>1501</v>
      </c>
      <c r="J289" s="5">
        <v>3049080.0</v>
      </c>
      <c r="K289" s="4" t="s">
        <v>945</v>
      </c>
      <c r="L289" s="3">
        <v>46183.42285879629</v>
      </c>
      <c r="M289" s="2" t="s">
        <v>946</v>
      </c>
      <c r="N289" s="29"/>
      <c r="O289" s="29"/>
      <c r="S289" s="30"/>
      <c r="T289" s="30"/>
    </row>
    <row r="290">
      <c r="A290" s="2" t="s">
        <v>1502</v>
      </c>
      <c r="B290" s="2" t="s">
        <v>17</v>
      </c>
      <c r="C290" s="4">
        <v>2025.0</v>
      </c>
      <c r="D290" s="4">
        <v>12.0</v>
      </c>
      <c r="E290" s="3">
        <v>46375.0</v>
      </c>
      <c r="F290" s="4">
        <v>2.0</v>
      </c>
      <c r="G290" s="2" t="s">
        <v>602</v>
      </c>
      <c r="H290" s="5" t="s">
        <v>176</v>
      </c>
      <c r="I290" s="2" t="s">
        <v>1503</v>
      </c>
      <c r="J290" s="5">
        <v>4319530.0</v>
      </c>
      <c r="K290" s="4" t="s">
        <v>945</v>
      </c>
      <c r="L290" s="3">
        <v>46183.42285879629</v>
      </c>
      <c r="M290" s="2" t="s">
        <v>946</v>
      </c>
      <c r="N290" s="29"/>
      <c r="O290" s="29"/>
      <c r="S290" s="30"/>
      <c r="T290" s="30"/>
    </row>
    <row r="291">
      <c r="A291" s="2" t="s">
        <v>1504</v>
      </c>
      <c r="B291" s="2" t="s">
        <v>17</v>
      </c>
      <c r="C291" s="4">
        <v>2025.0</v>
      </c>
      <c r="D291" s="4">
        <v>12.0</v>
      </c>
      <c r="E291" s="3">
        <v>46375.0</v>
      </c>
      <c r="F291" s="4">
        <v>2.0</v>
      </c>
      <c r="G291" s="2" t="s">
        <v>602</v>
      </c>
      <c r="H291" s="5" t="s">
        <v>183</v>
      </c>
      <c r="J291" s="5">
        <v>700000.0</v>
      </c>
      <c r="K291" s="4" t="s">
        <v>945</v>
      </c>
      <c r="L291" s="3">
        <v>46183.42285879629</v>
      </c>
      <c r="M291" s="2" t="s">
        <v>946</v>
      </c>
      <c r="N291" s="29"/>
      <c r="O291" s="29"/>
      <c r="S291" s="30"/>
      <c r="T291" s="30"/>
    </row>
    <row r="292">
      <c r="A292" s="2" t="s">
        <v>1505</v>
      </c>
      <c r="B292" s="2" t="s">
        <v>17</v>
      </c>
      <c r="C292" s="4">
        <v>2025.0</v>
      </c>
      <c r="D292" s="4">
        <v>12.0</v>
      </c>
      <c r="E292" s="3">
        <v>46375.0</v>
      </c>
      <c r="F292" s="4">
        <v>2.0</v>
      </c>
      <c r="G292" s="2" t="s">
        <v>602</v>
      </c>
      <c r="H292" s="5" t="s">
        <v>188</v>
      </c>
      <c r="J292" s="5">
        <v>250000.0</v>
      </c>
      <c r="K292" s="4" t="s">
        <v>945</v>
      </c>
      <c r="L292" s="3">
        <v>46183.42285879629</v>
      </c>
      <c r="M292" s="2" t="s">
        <v>946</v>
      </c>
      <c r="N292" s="29"/>
      <c r="O292" s="29"/>
      <c r="S292" s="30"/>
      <c r="T292" s="30"/>
    </row>
    <row r="293">
      <c r="A293" s="2" t="s">
        <v>1506</v>
      </c>
      <c r="B293" s="2" t="s">
        <v>17</v>
      </c>
      <c r="C293" s="4">
        <v>2025.0</v>
      </c>
      <c r="D293" s="4">
        <v>12.0</v>
      </c>
      <c r="E293" s="3">
        <v>46375.0</v>
      </c>
      <c r="F293" s="4">
        <v>2.0</v>
      </c>
      <c r="G293" s="2" t="s">
        <v>613</v>
      </c>
      <c r="H293" s="5" t="s">
        <v>235</v>
      </c>
      <c r="J293" s="5">
        <v>900000.0</v>
      </c>
      <c r="K293" s="4" t="s">
        <v>945</v>
      </c>
      <c r="L293" s="3">
        <v>46183.42285879629</v>
      </c>
      <c r="M293" s="2" t="s">
        <v>946</v>
      </c>
      <c r="N293" s="29"/>
      <c r="O293" s="29"/>
      <c r="S293" s="30"/>
      <c r="T293" s="30"/>
    </row>
    <row r="294">
      <c r="A294" s="2" t="s">
        <v>1507</v>
      </c>
      <c r="B294" s="2" t="s">
        <v>17</v>
      </c>
      <c r="C294" s="4">
        <v>2025.0</v>
      </c>
      <c r="D294" s="4">
        <v>12.0</v>
      </c>
      <c r="E294" s="3">
        <v>46375.0</v>
      </c>
      <c r="F294" s="4">
        <v>2.0</v>
      </c>
      <c r="G294" s="2" t="s">
        <v>613</v>
      </c>
      <c r="H294" s="5" t="s">
        <v>210</v>
      </c>
      <c r="J294" s="5">
        <v>420000.0</v>
      </c>
      <c r="K294" s="4" t="s">
        <v>945</v>
      </c>
      <c r="L294" s="3">
        <v>46183.42285879629</v>
      </c>
      <c r="M294" s="2" t="s">
        <v>946</v>
      </c>
      <c r="N294" s="29"/>
      <c r="O294" s="29"/>
      <c r="S294" s="30"/>
      <c r="T294" s="30"/>
    </row>
    <row r="295">
      <c r="A295" s="2" t="s">
        <v>1508</v>
      </c>
      <c r="B295" s="2" t="s">
        <v>17</v>
      </c>
      <c r="C295" s="4">
        <v>2025.0</v>
      </c>
      <c r="D295" s="4">
        <v>12.0</v>
      </c>
      <c r="E295" s="3">
        <v>46375.0</v>
      </c>
      <c r="F295" s="4">
        <v>2.0</v>
      </c>
      <c r="G295" s="2" t="s">
        <v>613</v>
      </c>
      <c r="H295" s="5" t="s">
        <v>1509</v>
      </c>
      <c r="J295" s="5">
        <v>4500000.0</v>
      </c>
      <c r="K295" s="4" t="s">
        <v>945</v>
      </c>
      <c r="L295" s="3">
        <v>46183.42285879629</v>
      </c>
      <c r="M295" s="2" t="s">
        <v>946</v>
      </c>
      <c r="N295" s="29"/>
      <c r="O295" s="29"/>
      <c r="S295" s="30"/>
      <c r="T295" s="30"/>
    </row>
    <row r="296">
      <c r="A296" s="2" t="s">
        <v>1510</v>
      </c>
      <c r="B296" s="2" t="s">
        <v>17</v>
      </c>
      <c r="C296" s="4">
        <v>2025.0</v>
      </c>
      <c r="D296" s="4">
        <v>12.0</v>
      </c>
      <c r="E296" s="3">
        <v>46375.0</v>
      </c>
      <c r="F296" s="4">
        <v>2.0</v>
      </c>
      <c r="G296" s="2" t="s">
        <v>237</v>
      </c>
      <c r="H296" s="5" t="s">
        <v>237</v>
      </c>
      <c r="J296" s="5">
        <v>1.85E7</v>
      </c>
      <c r="K296" s="4" t="s">
        <v>945</v>
      </c>
      <c r="L296" s="3">
        <v>46183.42285879629</v>
      </c>
      <c r="M296" s="2" t="s">
        <v>946</v>
      </c>
      <c r="N296" s="29"/>
      <c r="O296" s="29"/>
      <c r="S296" s="30"/>
      <c r="T296" s="30"/>
    </row>
    <row r="297">
      <c r="A297" s="2" t="s">
        <v>1511</v>
      </c>
      <c r="B297" s="2" t="s">
        <v>17</v>
      </c>
      <c r="C297" s="4">
        <v>2025.0</v>
      </c>
      <c r="D297" s="4">
        <v>12.0</v>
      </c>
      <c r="E297" s="3">
        <v>46375.0</v>
      </c>
      <c r="F297" s="4">
        <v>2.0</v>
      </c>
      <c r="G297" s="2" t="s">
        <v>626</v>
      </c>
      <c r="H297" s="5" t="s">
        <v>248</v>
      </c>
      <c r="J297" s="5">
        <v>1365000.0</v>
      </c>
      <c r="K297" s="4" t="s">
        <v>945</v>
      </c>
      <c r="L297" s="3">
        <v>46183.42285879629</v>
      </c>
      <c r="M297" s="2" t="s">
        <v>946</v>
      </c>
      <c r="N297" s="29"/>
      <c r="O297" s="29"/>
      <c r="S297" s="30"/>
      <c r="T297" s="30"/>
    </row>
    <row r="298">
      <c r="A298" s="2" t="s">
        <v>1512</v>
      </c>
      <c r="B298" s="2" t="s">
        <v>17</v>
      </c>
      <c r="C298" s="4">
        <v>2025.0</v>
      </c>
      <c r="D298" s="4">
        <v>12.0</v>
      </c>
      <c r="E298" s="3">
        <v>46375.0</v>
      </c>
      <c r="F298" s="4">
        <v>2.0</v>
      </c>
      <c r="G298" s="2" t="s">
        <v>613</v>
      </c>
      <c r="H298" s="5" t="s">
        <v>1513</v>
      </c>
      <c r="J298" s="5">
        <v>100000.0</v>
      </c>
      <c r="K298" s="4" t="s">
        <v>945</v>
      </c>
      <c r="L298" s="3">
        <v>46183.42285879629</v>
      </c>
      <c r="M298" s="2" t="s">
        <v>946</v>
      </c>
      <c r="N298" s="29"/>
      <c r="O298" s="29"/>
      <c r="S298" s="30"/>
      <c r="T298" s="30"/>
    </row>
    <row r="299">
      <c r="A299" s="2" t="s">
        <v>1514</v>
      </c>
      <c r="B299" s="2" t="s">
        <v>17</v>
      </c>
      <c r="C299" s="4">
        <v>2025.0</v>
      </c>
      <c r="D299" s="4">
        <v>12.0</v>
      </c>
      <c r="E299" s="3">
        <v>46375.0</v>
      </c>
      <c r="F299" s="4">
        <v>2.0</v>
      </c>
      <c r="G299" s="2" t="s">
        <v>626</v>
      </c>
      <c r="H299" s="5" t="s">
        <v>239</v>
      </c>
      <c r="J299" s="5">
        <v>8250000.0</v>
      </c>
      <c r="K299" s="4" t="s">
        <v>945</v>
      </c>
      <c r="L299" s="3">
        <v>46183.42285879629</v>
      </c>
      <c r="M299" s="2" t="s">
        <v>946</v>
      </c>
      <c r="N299" s="29"/>
      <c r="O299" s="29"/>
      <c r="S299" s="30"/>
      <c r="T299" s="30"/>
    </row>
    <row r="300">
      <c r="A300" s="2" t="s">
        <v>1515</v>
      </c>
      <c r="B300" s="2" t="s">
        <v>17</v>
      </c>
      <c r="C300" s="4">
        <v>2025.0</v>
      </c>
      <c r="D300" s="4">
        <v>12.0</v>
      </c>
      <c r="E300" s="3">
        <v>46375.0</v>
      </c>
      <c r="F300" s="4">
        <v>2.0</v>
      </c>
      <c r="G300" s="2" t="s">
        <v>626</v>
      </c>
      <c r="H300" s="5" t="s">
        <v>239</v>
      </c>
      <c r="I300" s="2" t="s">
        <v>247</v>
      </c>
      <c r="J300" s="5">
        <v>400000.0</v>
      </c>
      <c r="K300" s="4" t="s">
        <v>945</v>
      </c>
      <c r="L300" s="3">
        <v>46183.42285879629</v>
      </c>
      <c r="M300" s="2" t="s">
        <v>946</v>
      </c>
      <c r="N300" s="29"/>
      <c r="O300" s="29"/>
      <c r="S300" s="30"/>
      <c r="T300" s="30"/>
    </row>
    <row r="301">
      <c r="A301" s="2" t="s">
        <v>1516</v>
      </c>
      <c r="B301" s="2" t="s">
        <v>17</v>
      </c>
      <c r="C301" s="4">
        <v>2025.0</v>
      </c>
      <c r="D301" s="4">
        <v>12.0</v>
      </c>
      <c r="E301" s="3">
        <v>46375.0</v>
      </c>
      <c r="F301" s="4">
        <v>2.0</v>
      </c>
      <c r="G301" s="2" t="s">
        <v>613</v>
      </c>
      <c r="H301" s="5" t="s">
        <v>1517</v>
      </c>
      <c r="J301" s="5">
        <v>208000.0</v>
      </c>
      <c r="K301" s="4" t="s">
        <v>945</v>
      </c>
      <c r="L301" s="3">
        <v>46183.42285879629</v>
      </c>
      <c r="M301" s="2" t="s">
        <v>946</v>
      </c>
      <c r="N301" s="29"/>
      <c r="O301" s="29"/>
      <c r="S301" s="30"/>
      <c r="T301" s="30"/>
    </row>
    <row r="302">
      <c r="A302" s="2" t="s">
        <v>1518</v>
      </c>
      <c r="B302" s="2" t="s">
        <v>17</v>
      </c>
      <c r="C302" s="4">
        <v>2025.0</v>
      </c>
      <c r="D302" s="4">
        <v>12.0</v>
      </c>
      <c r="E302" s="3">
        <v>46375.0</v>
      </c>
      <c r="F302" s="4">
        <v>2.0</v>
      </c>
      <c r="G302" s="2" t="s">
        <v>613</v>
      </c>
      <c r="H302" s="5" t="s">
        <v>1519</v>
      </c>
      <c r="J302" s="5">
        <v>3400000.0</v>
      </c>
      <c r="K302" s="4" t="s">
        <v>945</v>
      </c>
      <c r="L302" s="3">
        <v>46183.42285879629</v>
      </c>
      <c r="M302" s="2" t="s">
        <v>946</v>
      </c>
      <c r="N302" s="29"/>
      <c r="O302" s="29"/>
      <c r="S302" s="30"/>
      <c r="T302" s="30"/>
    </row>
    <row r="303">
      <c r="A303" s="2" t="s">
        <v>1520</v>
      </c>
      <c r="B303" s="2" t="s">
        <v>17</v>
      </c>
      <c r="C303" s="4">
        <v>2024.0</v>
      </c>
      <c r="D303" s="4">
        <v>1.0</v>
      </c>
      <c r="E303" s="29"/>
      <c r="F303" s="4">
        <v>1.0</v>
      </c>
      <c r="G303" s="2" t="s">
        <v>602</v>
      </c>
      <c r="H303" s="5" t="s">
        <v>169</v>
      </c>
      <c r="I303" s="2" t="s">
        <v>18</v>
      </c>
      <c r="J303" s="5">
        <v>1021000.0</v>
      </c>
      <c r="K303" s="4" t="s">
        <v>994</v>
      </c>
      <c r="L303" s="3">
        <v>46185.84468155092</v>
      </c>
      <c r="M303" s="2" t="s">
        <v>995</v>
      </c>
      <c r="N303" s="29"/>
      <c r="O303" s="29"/>
      <c r="Q303" s="2" t="s">
        <v>996</v>
      </c>
      <c r="R303" s="2" t="s">
        <v>997</v>
      </c>
      <c r="S303" s="4">
        <v>2024.0</v>
      </c>
      <c r="T303" s="30"/>
      <c r="U303" s="2" t="s">
        <v>998</v>
      </c>
    </row>
    <row r="304">
      <c r="A304" s="2" t="s">
        <v>1521</v>
      </c>
      <c r="B304" s="2" t="s">
        <v>17</v>
      </c>
      <c r="C304" s="4">
        <v>2024.0</v>
      </c>
      <c r="D304" s="4">
        <v>1.0</v>
      </c>
      <c r="E304" s="29"/>
      <c r="F304" s="4">
        <v>1.0</v>
      </c>
      <c r="G304" s="2" t="s">
        <v>602</v>
      </c>
      <c r="H304" s="5" t="s">
        <v>176</v>
      </c>
      <c r="I304" s="2" t="s">
        <v>18</v>
      </c>
      <c r="J304" s="5">
        <v>1700000.0</v>
      </c>
      <c r="K304" s="4" t="s">
        <v>994</v>
      </c>
      <c r="L304" s="3">
        <v>46185.84468155092</v>
      </c>
      <c r="M304" s="2" t="s">
        <v>995</v>
      </c>
      <c r="N304" s="29"/>
      <c r="O304" s="29"/>
      <c r="Q304" s="2" t="s">
        <v>996</v>
      </c>
      <c r="R304" s="2" t="s">
        <v>997</v>
      </c>
      <c r="S304" s="4">
        <v>2024.0</v>
      </c>
      <c r="T304" s="30"/>
      <c r="U304" s="2" t="s">
        <v>998</v>
      </c>
    </row>
    <row r="305">
      <c r="A305" s="2" t="s">
        <v>1522</v>
      </c>
      <c r="B305" s="2" t="s">
        <v>17</v>
      </c>
      <c r="C305" s="4">
        <v>2024.0</v>
      </c>
      <c r="D305" s="4">
        <v>1.0</v>
      </c>
      <c r="E305" s="29"/>
      <c r="F305" s="4">
        <v>1.0</v>
      </c>
      <c r="G305" s="2" t="s">
        <v>602</v>
      </c>
      <c r="H305" s="5" t="s">
        <v>183</v>
      </c>
      <c r="I305" s="2" t="s">
        <v>18</v>
      </c>
      <c r="J305" s="5">
        <v>300000.0</v>
      </c>
      <c r="K305" s="4" t="s">
        <v>994</v>
      </c>
      <c r="L305" s="3">
        <v>46185.84468155092</v>
      </c>
      <c r="M305" s="2" t="s">
        <v>995</v>
      </c>
      <c r="N305" s="29"/>
      <c r="O305" s="29"/>
      <c r="Q305" s="2" t="s">
        <v>996</v>
      </c>
      <c r="R305" s="2" t="s">
        <v>997</v>
      </c>
      <c r="S305" s="4">
        <v>2024.0</v>
      </c>
      <c r="T305" s="30"/>
      <c r="U305" s="2" t="s">
        <v>998</v>
      </c>
    </row>
    <row r="306">
      <c r="A306" s="2" t="s">
        <v>1523</v>
      </c>
      <c r="B306" s="2" t="s">
        <v>17</v>
      </c>
      <c r="C306" s="4">
        <v>2024.0</v>
      </c>
      <c r="D306" s="4">
        <v>1.0</v>
      </c>
      <c r="E306" s="29"/>
      <c r="F306" s="4">
        <v>1.0</v>
      </c>
      <c r="G306" s="2" t="s">
        <v>602</v>
      </c>
      <c r="H306" s="5" t="s">
        <v>188</v>
      </c>
      <c r="I306" s="2" t="s">
        <v>18</v>
      </c>
      <c r="J306" s="5">
        <v>100000.0</v>
      </c>
      <c r="K306" s="4" t="s">
        <v>994</v>
      </c>
      <c r="L306" s="3">
        <v>46185.84468155092</v>
      </c>
      <c r="M306" s="2" t="s">
        <v>995</v>
      </c>
      <c r="N306" s="29"/>
      <c r="O306" s="29"/>
      <c r="Q306" s="2" t="s">
        <v>996</v>
      </c>
      <c r="R306" s="2" t="s">
        <v>997</v>
      </c>
      <c r="S306" s="4">
        <v>2024.0</v>
      </c>
      <c r="T306" s="30"/>
      <c r="U306" s="2" t="s">
        <v>998</v>
      </c>
    </row>
    <row r="307">
      <c r="A307" s="2" t="s">
        <v>1524</v>
      </c>
      <c r="B307" s="2" t="s">
        <v>17</v>
      </c>
      <c r="C307" s="4">
        <v>2024.0</v>
      </c>
      <c r="D307" s="4">
        <v>1.0</v>
      </c>
      <c r="E307" s="29"/>
      <c r="F307" s="4">
        <v>1.0</v>
      </c>
      <c r="G307" s="2" t="s">
        <v>602</v>
      </c>
      <c r="H307" s="5" t="s">
        <v>200</v>
      </c>
      <c r="I307" s="2" t="s">
        <v>18</v>
      </c>
      <c r="J307" s="5">
        <v>110000.0</v>
      </c>
      <c r="K307" s="4" t="s">
        <v>994</v>
      </c>
      <c r="L307" s="3">
        <v>46185.84468155092</v>
      </c>
      <c r="M307" s="2" t="s">
        <v>995</v>
      </c>
      <c r="N307" s="29"/>
      <c r="O307" s="29"/>
      <c r="Q307" s="2" t="s">
        <v>996</v>
      </c>
      <c r="R307" s="2" t="s">
        <v>997</v>
      </c>
      <c r="S307" s="4">
        <v>2024.0</v>
      </c>
      <c r="T307" s="30"/>
      <c r="U307" s="2" t="s">
        <v>998</v>
      </c>
    </row>
    <row r="308">
      <c r="A308" s="2" t="s">
        <v>1525</v>
      </c>
      <c r="B308" s="2" t="s">
        <v>17</v>
      </c>
      <c r="C308" s="4">
        <v>2024.0</v>
      </c>
      <c r="D308" s="4">
        <v>1.0</v>
      </c>
      <c r="E308" s="29"/>
      <c r="F308" s="4">
        <v>1.0</v>
      </c>
      <c r="G308" s="2" t="s">
        <v>607</v>
      </c>
      <c r="H308" s="5" t="s">
        <v>933</v>
      </c>
      <c r="I308" s="2" t="s">
        <v>934</v>
      </c>
      <c r="J308" s="5">
        <v>9875000.0</v>
      </c>
      <c r="K308" s="4" t="s">
        <v>994</v>
      </c>
      <c r="L308" s="3">
        <v>46185.84468155092</v>
      </c>
      <c r="M308" s="2" t="s">
        <v>995</v>
      </c>
      <c r="N308" s="29"/>
      <c r="O308" s="29"/>
      <c r="Q308" s="2" t="s">
        <v>996</v>
      </c>
      <c r="R308" s="2" t="s">
        <v>997</v>
      </c>
      <c r="S308" s="4">
        <v>2024.0</v>
      </c>
      <c r="T308" s="30"/>
      <c r="U308" s="2" t="s">
        <v>998</v>
      </c>
    </row>
    <row r="309">
      <c r="A309" s="2" t="s">
        <v>1526</v>
      </c>
      <c r="B309" s="2" t="s">
        <v>17</v>
      </c>
      <c r="C309" s="4">
        <v>2024.0</v>
      </c>
      <c r="D309" s="4">
        <v>1.0</v>
      </c>
      <c r="E309" s="29"/>
      <c r="F309" s="4">
        <v>1.0</v>
      </c>
      <c r="G309" s="2" t="s">
        <v>602</v>
      </c>
      <c r="H309" s="5" t="s">
        <v>935</v>
      </c>
      <c r="I309" s="2" t="s">
        <v>18</v>
      </c>
      <c r="J309" s="5">
        <v>3960000.0</v>
      </c>
      <c r="K309" s="4" t="s">
        <v>994</v>
      </c>
      <c r="L309" s="3">
        <v>46185.84468155092</v>
      </c>
      <c r="M309" s="2" t="s">
        <v>995</v>
      </c>
      <c r="N309" s="29"/>
      <c r="O309" s="29"/>
      <c r="Q309" s="2" t="s">
        <v>996</v>
      </c>
      <c r="R309" s="2" t="s">
        <v>997</v>
      </c>
      <c r="S309" s="4">
        <v>2024.0</v>
      </c>
      <c r="T309" s="30"/>
      <c r="U309" s="2" t="s">
        <v>998</v>
      </c>
    </row>
    <row r="310">
      <c r="A310" s="2" t="s">
        <v>1527</v>
      </c>
      <c r="B310" s="2" t="s">
        <v>17</v>
      </c>
      <c r="C310" s="4">
        <v>2024.0</v>
      </c>
      <c r="D310" s="4">
        <v>1.0</v>
      </c>
      <c r="E310" s="29"/>
      <c r="F310" s="4">
        <v>2.0</v>
      </c>
      <c r="G310" s="2" t="s">
        <v>602</v>
      </c>
      <c r="H310" s="5" t="s">
        <v>169</v>
      </c>
      <c r="I310" s="2" t="s">
        <v>26</v>
      </c>
      <c r="J310" s="5">
        <v>800000.0</v>
      </c>
      <c r="K310" s="4" t="s">
        <v>994</v>
      </c>
      <c r="L310" s="3">
        <v>46185.84468155092</v>
      </c>
      <c r="M310" s="2" t="s">
        <v>995</v>
      </c>
      <c r="N310" s="29"/>
      <c r="O310" s="29"/>
      <c r="Q310" s="2" t="s">
        <v>996</v>
      </c>
      <c r="R310" s="2" t="s">
        <v>997</v>
      </c>
      <c r="S310" s="4">
        <v>2024.0</v>
      </c>
      <c r="T310" s="30"/>
      <c r="U310" s="2" t="s">
        <v>998</v>
      </c>
    </row>
    <row r="311">
      <c r="A311" s="2" t="s">
        <v>1528</v>
      </c>
      <c r="B311" s="2" t="s">
        <v>17</v>
      </c>
      <c r="C311" s="4">
        <v>2024.0</v>
      </c>
      <c r="D311" s="4">
        <v>1.0</v>
      </c>
      <c r="E311" s="29"/>
      <c r="F311" s="4">
        <v>2.0</v>
      </c>
      <c r="G311" s="2" t="s">
        <v>602</v>
      </c>
      <c r="H311" s="5" t="s">
        <v>176</v>
      </c>
      <c r="I311" s="2" t="s">
        <v>26</v>
      </c>
      <c r="J311" s="5">
        <v>1361000.0</v>
      </c>
      <c r="K311" s="4" t="s">
        <v>994</v>
      </c>
      <c r="L311" s="3">
        <v>46185.84468155092</v>
      </c>
      <c r="M311" s="2" t="s">
        <v>995</v>
      </c>
      <c r="N311" s="29"/>
      <c r="O311" s="29"/>
      <c r="Q311" s="2" t="s">
        <v>996</v>
      </c>
      <c r="R311" s="2" t="s">
        <v>997</v>
      </c>
      <c r="S311" s="4">
        <v>2024.0</v>
      </c>
      <c r="T311" s="30"/>
      <c r="U311" s="2" t="s">
        <v>998</v>
      </c>
    </row>
    <row r="312">
      <c r="A312" s="2" t="s">
        <v>1529</v>
      </c>
      <c r="B312" s="2" t="s">
        <v>17</v>
      </c>
      <c r="C312" s="4">
        <v>2024.0</v>
      </c>
      <c r="D312" s="4">
        <v>1.0</v>
      </c>
      <c r="E312" s="29"/>
      <c r="F312" s="4">
        <v>2.0</v>
      </c>
      <c r="G312" s="2" t="s">
        <v>602</v>
      </c>
      <c r="H312" s="5" t="s">
        <v>183</v>
      </c>
      <c r="I312" s="2" t="s">
        <v>26</v>
      </c>
      <c r="J312" s="5">
        <v>300000.0</v>
      </c>
      <c r="K312" s="4" t="s">
        <v>994</v>
      </c>
      <c r="L312" s="3">
        <v>46185.84468155092</v>
      </c>
      <c r="M312" s="2" t="s">
        <v>995</v>
      </c>
      <c r="N312" s="29"/>
      <c r="O312" s="29"/>
      <c r="Q312" s="2" t="s">
        <v>996</v>
      </c>
      <c r="R312" s="2" t="s">
        <v>997</v>
      </c>
      <c r="S312" s="4">
        <v>2024.0</v>
      </c>
      <c r="T312" s="30"/>
      <c r="U312" s="2" t="s">
        <v>998</v>
      </c>
    </row>
    <row r="313">
      <c r="A313" s="2" t="s">
        <v>1530</v>
      </c>
      <c r="B313" s="2" t="s">
        <v>17</v>
      </c>
      <c r="C313" s="4">
        <v>2024.0</v>
      </c>
      <c r="D313" s="4">
        <v>1.0</v>
      </c>
      <c r="E313" s="29"/>
      <c r="F313" s="4">
        <v>2.0</v>
      </c>
      <c r="G313" s="2" t="s">
        <v>602</v>
      </c>
      <c r="H313" s="5" t="s">
        <v>188</v>
      </c>
      <c r="I313" s="2" t="s">
        <v>26</v>
      </c>
      <c r="J313" s="5">
        <v>100000.0</v>
      </c>
      <c r="K313" s="4" t="s">
        <v>994</v>
      </c>
      <c r="L313" s="3">
        <v>46185.84468155092</v>
      </c>
      <c r="M313" s="2" t="s">
        <v>995</v>
      </c>
      <c r="N313" s="29"/>
      <c r="O313" s="29"/>
      <c r="Q313" s="2" t="s">
        <v>996</v>
      </c>
      <c r="R313" s="2" t="s">
        <v>997</v>
      </c>
      <c r="S313" s="4">
        <v>2024.0</v>
      </c>
      <c r="T313" s="30"/>
      <c r="U313" s="2" t="s">
        <v>998</v>
      </c>
    </row>
    <row r="314">
      <c r="A314" s="2" t="s">
        <v>1531</v>
      </c>
      <c r="B314" s="2" t="s">
        <v>17</v>
      </c>
      <c r="C314" s="4">
        <v>2024.0</v>
      </c>
      <c r="D314" s="4">
        <v>1.0</v>
      </c>
      <c r="E314" s="29"/>
      <c r="F314" s="4">
        <v>2.0</v>
      </c>
      <c r="G314" s="2" t="s">
        <v>602</v>
      </c>
      <c r="H314" s="5" t="s">
        <v>233</v>
      </c>
      <c r="I314" s="2" t="s">
        <v>26</v>
      </c>
      <c r="J314" s="5">
        <v>6600000.0</v>
      </c>
      <c r="K314" s="4" t="s">
        <v>994</v>
      </c>
      <c r="L314" s="3">
        <v>46185.84468155092</v>
      </c>
      <c r="M314" s="2" t="s">
        <v>995</v>
      </c>
      <c r="N314" s="29"/>
      <c r="O314" s="29"/>
      <c r="Q314" s="2" t="s">
        <v>996</v>
      </c>
      <c r="R314" s="2" t="s">
        <v>997</v>
      </c>
      <c r="S314" s="4">
        <v>2024.0</v>
      </c>
      <c r="T314" s="30"/>
      <c r="U314" s="2" t="s">
        <v>998</v>
      </c>
    </row>
    <row r="315">
      <c r="A315" s="2" t="s">
        <v>1532</v>
      </c>
      <c r="B315" s="2" t="s">
        <v>17</v>
      </c>
      <c r="C315" s="4">
        <v>2024.0</v>
      </c>
      <c r="D315" s="4">
        <v>1.0</v>
      </c>
      <c r="E315" s="29"/>
      <c r="F315" s="4">
        <v>2.0</v>
      </c>
      <c r="G315" s="2" t="s">
        <v>602</v>
      </c>
      <c r="H315" s="5" t="s">
        <v>239</v>
      </c>
      <c r="I315" s="2" t="s">
        <v>26</v>
      </c>
      <c r="J315" s="5">
        <v>6330000.0</v>
      </c>
      <c r="K315" s="4" t="s">
        <v>994</v>
      </c>
      <c r="L315" s="3">
        <v>46185.84468155092</v>
      </c>
      <c r="M315" s="2" t="s">
        <v>995</v>
      </c>
      <c r="N315" s="29"/>
      <c r="O315" s="29"/>
      <c r="Q315" s="2" t="s">
        <v>996</v>
      </c>
      <c r="R315" s="2" t="s">
        <v>997</v>
      </c>
      <c r="S315" s="4">
        <v>2024.0</v>
      </c>
      <c r="T315" s="30"/>
      <c r="U315" s="2" t="s">
        <v>998</v>
      </c>
    </row>
    <row r="316">
      <c r="A316" s="2" t="s">
        <v>1533</v>
      </c>
      <c r="B316" s="2" t="s">
        <v>17</v>
      </c>
      <c r="C316" s="4">
        <v>2024.0</v>
      </c>
      <c r="D316" s="4">
        <v>1.0</v>
      </c>
      <c r="E316" s="29"/>
      <c r="F316" s="4">
        <v>2.0</v>
      </c>
      <c r="G316" s="2" t="s">
        <v>602</v>
      </c>
      <c r="H316" s="5" t="s">
        <v>935</v>
      </c>
      <c r="I316" s="2" t="s">
        <v>26</v>
      </c>
      <c r="J316" s="5">
        <v>1270000.0</v>
      </c>
      <c r="K316" s="4" t="s">
        <v>994</v>
      </c>
      <c r="L316" s="3">
        <v>46185.84468155092</v>
      </c>
      <c r="M316" s="2" t="s">
        <v>995</v>
      </c>
      <c r="N316" s="29"/>
      <c r="O316" s="29"/>
      <c r="Q316" s="2" t="s">
        <v>996</v>
      </c>
      <c r="R316" s="2" t="s">
        <v>997</v>
      </c>
      <c r="S316" s="4">
        <v>2024.0</v>
      </c>
      <c r="T316" s="30"/>
      <c r="U316" s="2" t="s">
        <v>998</v>
      </c>
    </row>
    <row r="317">
      <c r="A317" s="2" t="s">
        <v>1534</v>
      </c>
      <c r="B317" s="2" t="s">
        <v>17</v>
      </c>
      <c r="C317" s="4">
        <v>2024.0</v>
      </c>
      <c r="D317" s="4">
        <v>2.0</v>
      </c>
      <c r="E317" s="29"/>
      <c r="F317" s="4">
        <v>1.0</v>
      </c>
      <c r="G317" s="2" t="s">
        <v>602</v>
      </c>
      <c r="H317" s="5" t="s">
        <v>169</v>
      </c>
      <c r="I317" s="2" t="s">
        <v>40</v>
      </c>
      <c r="J317" s="5">
        <v>758000.0</v>
      </c>
      <c r="K317" s="4" t="s">
        <v>994</v>
      </c>
      <c r="L317" s="3">
        <v>46185.84468155092</v>
      </c>
      <c r="M317" s="2" t="s">
        <v>995</v>
      </c>
      <c r="N317" s="29"/>
      <c r="O317" s="29"/>
      <c r="Q317" s="2" t="s">
        <v>996</v>
      </c>
      <c r="R317" s="2" t="s">
        <v>997</v>
      </c>
      <c r="S317" s="4">
        <v>2024.0</v>
      </c>
      <c r="T317" s="30"/>
      <c r="U317" s="2" t="s">
        <v>998</v>
      </c>
    </row>
    <row r="318">
      <c r="A318" s="2" t="s">
        <v>1535</v>
      </c>
      <c r="B318" s="2" t="s">
        <v>17</v>
      </c>
      <c r="C318" s="4">
        <v>2024.0</v>
      </c>
      <c r="D318" s="4">
        <v>2.0</v>
      </c>
      <c r="E318" s="29"/>
      <c r="F318" s="4">
        <v>1.0</v>
      </c>
      <c r="G318" s="2" t="s">
        <v>602</v>
      </c>
      <c r="H318" s="5" t="s">
        <v>176</v>
      </c>
      <c r="I318" s="2" t="s">
        <v>40</v>
      </c>
      <c r="J318" s="5">
        <v>1289000.0</v>
      </c>
      <c r="K318" s="4" t="s">
        <v>994</v>
      </c>
      <c r="L318" s="3">
        <v>46185.84468155092</v>
      </c>
      <c r="M318" s="2" t="s">
        <v>995</v>
      </c>
      <c r="N318" s="29"/>
      <c r="O318" s="29"/>
      <c r="Q318" s="2" t="s">
        <v>996</v>
      </c>
      <c r="R318" s="2" t="s">
        <v>997</v>
      </c>
      <c r="S318" s="4">
        <v>2024.0</v>
      </c>
      <c r="T318" s="30"/>
      <c r="U318" s="2" t="s">
        <v>998</v>
      </c>
    </row>
    <row r="319">
      <c r="A319" s="2" t="s">
        <v>1536</v>
      </c>
      <c r="B319" s="2" t="s">
        <v>17</v>
      </c>
      <c r="C319" s="4">
        <v>2024.0</v>
      </c>
      <c r="D319" s="4">
        <v>2.0</v>
      </c>
      <c r="E319" s="29"/>
      <c r="F319" s="4">
        <v>1.0</v>
      </c>
      <c r="G319" s="2" t="s">
        <v>602</v>
      </c>
      <c r="H319" s="5" t="s">
        <v>183</v>
      </c>
      <c r="I319" s="2" t="s">
        <v>40</v>
      </c>
      <c r="J319" s="5">
        <v>300000.0</v>
      </c>
      <c r="K319" s="4" t="s">
        <v>994</v>
      </c>
      <c r="L319" s="3">
        <v>46185.84468155092</v>
      </c>
      <c r="M319" s="2" t="s">
        <v>995</v>
      </c>
      <c r="N319" s="29"/>
      <c r="O319" s="29"/>
      <c r="Q319" s="2" t="s">
        <v>996</v>
      </c>
      <c r="R319" s="2" t="s">
        <v>997</v>
      </c>
      <c r="S319" s="4">
        <v>2024.0</v>
      </c>
      <c r="T319" s="30"/>
      <c r="U319" s="2" t="s">
        <v>998</v>
      </c>
    </row>
    <row r="320">
      <c r="A320" s="2" t="s">
        <v>1537</v>
      </c>
      <c r="B320" s="2" t="s">
        <v>17</v>
      </c>
      <c r="C320" s="4">
        <v>2024.0</v>
      </c>
      <c r="D320" s="4">
        <v>2.0</v>
      </c>
      <c r="E320" s="29"/>
      <c r="F320" s="4">
        <v>1.0</v>
      </c>
      <c r="G320" s="2" t="s">
        <v>602</v>
      </c>
      <c r="H320" s="5" t="s">
        <v>188</v>
      </c>
      <c r="I320" s="2" t="s">
        <v>40</v>
      </c>
      <c r="J320" s="5">
        <v>100000.0</v>
      </c>
      <c r="K320" s="4" t="s">
        <v>994</v>
      </c>
      <c r="L320" s="3">
        <v>46185.84468155092</v>
      </c>
      <c r="M320" s="2" t="s">
        <v>995</v>
      </c>
      <c r="N320" s="29"/>
      <c r="O320" s="29"/>
      <c r="Q320" s="2" t="s">
        <v>996</v>
      </c>
      <c r="R320" s="2" t="s">
        <v>997</v>
      </c>
      <c r="S320" s="4">
        <v>2024.0</v>
      </c>
      <c r="T320" s="30"/>
      <c r="U320" s="2" t="s">
        <v>998</v>
      </c>
    </row>
    <row r="321">
      <c r="A321" s="2" t="s">
        <v>1538</v>
      </c>
      <c r="B321" s="2" t="s">
        <v>17</v>
      </c>
      <c r="C321" s="4">
        <v>2024.0</v>
      </c>
      <c r="D321" s="4">
        <v>2.0</v>
      </c>
      <c r="E321" s="29"/>
      <c r="F321" s="4">
        <v>1.0</v>
      </c>
      <c r="G321" s="2" t="s">
        <v>602</v>
      </c>
      <c r="H321" s="5" t="s">
        <v>935</v>
      </c>
      <c r="I321" s="2" t="s">
        <v>40</v>
      </c>
      <c r="J321" s="5">
        <v>1715000.0</v>
      </c>
      <c r="K321" s="4" t="s">
        <v>994</v>
      </c>
      <c r="L321" s="3">
        <v>46185.84468155092</v>
      </c>
      <c r="M321" s="2" t="s">
        <v>995</v>
      </c>
      <c r="N321" s="29"/>
      <c r="O321" s="29"/>
      <c r="Q321" s="2" t="s">
        <v>996</v>
      </c>
      <c r="R321" s="2" t="s">
        <v>997</v>
      </c>
      <c r="S321" s="4">
        <v>2024.0</v>
      </c>
      <c r="T321" s="30"/>
      <c r="U321" s="2" t="s">
        <v>998</v>
      </c>
    </row>
    <row r="322">
      <c r="A322" s="2" t="s">
        <v>1539</v>
      </c>
      <c r="B322" s="2" t="s">
        <v>17</v>
      </c>
      <c r="C322" s="4">
        <v>2024.0</v>
      </c>
      <c r="D322" s="4">
        <v>2.0</v>
      </c>
      <c r="E322" s="29"/>
      <c r="F322" s="4">
        <v>2.0</v>
      </c>
      <c r="G322" s="2" t="s">
        <v>602</v>
      </c>
      <c r="H322" s="5" t="s">
        <v>169</v>
      </c>
      <c r="I322" s="2" t="s">
        <v>47</v>
      </c>
      <c r="J322" s="5">
        <v>782000.0</v>
      </c>
      <c r="K322" s="4" t="s">
        <v>994</v>
      </c>
      <c r="L322" s="3">
        <v>46185.84468155092</v>
      </c>
      <c r="M322" s="2" t="s">
        <v>995</v>
      </c>
      <c r="N322" s="29"/>
      <c r="O322" s="29"/>
      <c r="Q322" s="2" t="s">
        <v>996</v>
      </c>
      <c r="R322" s="2" t="s">
        <v>997</v>
      </c>
      <c r="S322" s="4">
        <v>2024.0</v>
      </c>
      <c r="T322" s="30"/>
      <c r="U322" s="2" t="s">
        <v>998</v>
      </c>
    </row>
    <row r="323">
      <c r="A323" s="2" t="s">
        <v>1540</v>
      </c>
      <c r="B323" s="2" t="s">
        <v>17</v>
      </c>
      <c r="C323" s="4">
        <v>2024.0</v>
      </c>
      <c r="D323" s="4">
        <v>2.0</v>
      </c>
      <c r="E323" s="29"/>
      <c r="F323" s="4">
        <v>2.0</v>
      </c>
      <c r="G323" s="2" t="s">
        <v>602</v>
      </c>
      <c r="H323" s="5" t="s">
        <v>176</v>
      </c>
      <c r="I323" s="2" t="s">
        <v>47</v>
      </c>
      <c r="J323" s="5">
        <v>1329000.0</v>
      </c>
      <c r="K323" s="4" t="s">
        <v>994</v>
      </c>
      <c r="L323" s="3">
        <v>46185.84468155092</v>
      </c>
      <c r="M323" s="2" t="s">
        <v>995</v>
      </c>
      <c r="N323" s="29"/>
      <c r="O323" s="29"/>
      <c r="Q323" s="2" t="s">
        <v>996</v>
      </c>
      <c r="R323" s="2" t="s">
        <v>997</v>
      </c>
      <c r="S323" s="4">
        <v>2024.0</v>
      </c>
      <c r="T323" s="30"/>
      <c r="U323" s="2" t="s">
        <v>998</v>
      </c>
    </row>
    <row r="324">
      <c r="A324" s="2" t="s">
        <v>1541</v>
      </c>
      <c r="B324" s="2" t="s">
        <v>17</v>
      </c>
      <c r="C324" s="4">
        <v>2024.0</v>
      </c>
      <c r="D324" s="4">
        <v>2.0</v>
      </c>
      <c r="E324" s="29"/>
      <c r="F324" s="4">
        <v>2.0</v>
      </c>
      <c r="G324" s="2" t="s">
        <v>602</v>
      </c>
      <c r="H324" s="5" t="s">
        <v>183</v>
      </c>
      <c r="I324" s="2" t="s">
        <v>47</v>
      </c>
      <c r="J324" s="5">
        <v>300000.0</v>
      </c>
      <c r="K324" s="4" t="s">
        <v>994</v>
      </c>
      <c r="L324" s="3">
        <v>46185.84468155092</v>
      </c>
      <c r="M324" s="2" t="s">
        <v>995</v>
      </c>
      <c r="N324" s="29"/>
      <c r="O324" s="29"/>
      <c r="Q324" s="2" t="s">
        <v>996</v>
      </c>
      <c r="R324" s="2" t="s">
        <v>997</v>
      </c>
      <c r="S324" s="4">
        <v>2024.0</v>
      </c>
      <c r="T324" s="30"/>
      <c r="U324" s="2" t="s">
        <v>998</v>
      </c>
    </row>
    <row r="325">
      <c r="A325" s="2" t="s">
        <v>1542</v>
      </c>
      <c r="B325" s="2" t="s">
        <v>17</v>
      </c>
      <c r="C325" s="4">
        <v>2024.0</v>
      </c>
      <c r="D325" s="4">
        <v>2.0</v>
      </c>
      <c r="E325" s="29"/>
      <c r="F325" s="4">
        <v>2.0</v>
      </c>
      <c r="G325" s="2" t="s">
        <v>602</v>
      </c>
      <c r="H325" s="5" t="s">
        <v>188</v>
      </c>
      <c r="I325" s="2" t="s">
        <v>47</v>
      </c>
      <c r="J325" s="5">
        <v>100000.0</v>
      </c>
      <c r="K325" s="4" t="s">
        <v>994</v>
      </c>
      <c r="L325" s="3">
        <v>46185.84468155092</v>
      </c>
      <c r="M325" s="2" t="s">
        <v>995</v>
      </c>
      <c r="N325" s="29"/>
      <c r="O325" s="29"/>
      <c r="Q325" s="2" t="s">
        <v>996</v>
      </c>
      <c r="R325" s="2" t="s">
        <v>997</v>
      </c>
      <c r="S325" s="4">
        <v>2024.0</v>
      </c>
      <c r="T325" s="30"/>
      <c r="U325" s="2" t="s">
        <v>998</v>
      </c>
    </row>
    <row r="326">
      <c r="A326" s="2" t="s">
        <v>1543</v>
      </c>
      <c r="B326" s="2" t="s">
        <v>17</v>
      </c>
      <c r="C326" s="4">
        <v>2024.0</v>
      </c>
      <c r="D326" s="4">
        <v>2.0</v>
      </c>
      <c r="E326" s="29"/>
      <c r="F326" s="4">
        <v>2.0</v>
      </c>
      <c r="G326" s="2" t="s">
        <v>602</v>
      </c>
      <c r="H326" s="5" t="s">
        <v>239</v>
      </c>
      <c r="I326" s="2" t="s">
        <v>47</v>
      </c>
      <c r="J326" s="5">
        <v>6450000.0</v>
      </c>
      <c r="K326" s="4" t="s">
        <v>994</v>
      </c>
      <c r="L326" s="3">
        <v>46185.84468155092</v>
      </c>
      <c r="M326" s="2" t="s">
        <v>995</v>
      </c>
      <c r="N326" s="29"/>
      <c r="O326" s="29"/>
      <c r="Q326" s="2" t="s">
        <v>996</v>
      </c>
      <c r="R326" s="2" t="s">
        <v>997</v>
      </c>
      <c r="S326" s="4">
        <v>2024.0</v>
      </c>
      <c r="T326" s="30"/>
      <c r="U326" s="2" t="s">
        <v>998</v>
      </c>
    </row>
    <row r="327">
      <c r="A327" s="2" t="s">
        <v>1544</v>
      </c>
      <c r="B327" s="2" t="s">
        <v>17</v>
      </c>
      <c r="C327" s="4">
        <v>2024.0</v>
      </c>
      <c r="D327" s="4">
        <v>2.0</v>
      </c>
      <c r="E327" s="29"/>
      <c r="F327" s="4">
        <v>2.0</v>
      </c>
      <c r="G327" s="2" t="s">
        <v>602</v>
      </c>
      <c r="H327" s="5" t="s">
        <v>935</v>
      </c>
      <c r="I327" s="2" t="s">
        <v>47</v>
      </c>
      <c r="J327" s="5">
        <v>1320000.0</v>
      </c>
      <c r="K327" s="4" t="s">
        <v>994</v>
      </c>
      <c r="L327" s="3">
        <v>46185.84468155092</v>
      </c>
      <c r="M327" s="2" t="s">
        <v>995</v>
      </c>
      <c r="N327" s="29"/>
      <c r="O327" s="29"/>
      <c r="Q327" s="2" t="s">
        <v>996</v>
      </c>
      <c r="R327" s="2" t="s">
        <v>997</v>
      </c>
      <c r="S327" s="4">
        <v>2024.0</v>
      </c>
      <c r="T327" s="30"/>
      <c r="U327" s="2" t="s">
        <v>998</v>
      </c>
    </row>
    <row r="328">
      <c r="A328" s="2" t="s">
        <v>1545</v>
      </c>
      <c r="B328" s="2" t="s">
        <v>17</v>
      </c>
      <c r="C328" s="4">
        <v>2024.0</v>
      </c>
      <c r="D328" s="4">
        <v>2.0</v>
      </c>
      <c r="E328" s="29"/>
      <c r="F328" s="4">
        <v>2.0</v>
      </c>
      <c r="G328" s="2" t="s">
        <v>602</v>
      </c>
      <c r="H328" s="5" t="s">
        <v>936</v>
      </c>
      <c r="I328" s="2" t="s">
        <v>47</v>
      </c>
      <c r="J328" s="5">
        <v>6600000.0</v>
      </c>
      <c r="K328" s="4" t="s">
        <v>994</v>
      </c>
      <c r="L328" s="3">
        <v>46185.84468155092</v>
      </c>
      <c r="M328" s="2" t="s">
        <v>995</v>
      </c>
      <c r="N328" s="29"/>
      <c r="O328" s="29"/>
      <c r="Q328" s="2" t="s">
        <v>996</v>
      </c>
      <c r="R328" s="2" t="s">
        <v>997</v>
      </c>
      <c r="S328" s="4">
        <v>2024.0</v>
      </c>
      <c r="T328" s="30"/>
      <c r="U328" s="2" t="s">
        <v>998</v>
      </c>
    </row>
    <row r="329">
      <c r="A329" s="2" t="s">
        <v>1546</v>
      </c>
      <c r="B329" s="2" t="s">
        <v>17</v>
      </c>
      <c r="C329" s="4">
        <v>2024.0</v>
      </c>
      <c r="D329" s="4">
        <v>2.0</v>
      </c>
      <c r="E329" s="29"/>
      <c r="F329" s="4">
        <v>2.0</v>
      </c>
      <c r="G329" s="2" t="s">
        <v>607</v>
      </c>
      <c r="H329" s="5" t="s">
        <v>937</v>
      </c>
      <c r="I329" s="2" t="s">
        <v>47</v>
      </c>
      <c r="J329" s="5">
        <v>500000.0</v>
      </c>
      <c r="K329" s="4" t="s">
        <v>994</v>
      </c>
      <c r="L329" s="3">
        <v>46185.84468155092</v>
      </c>
      <c r="M329" s="2" t="s">
        <v>995</v>
      </c>
      <c r="N329" s="29"/>
      <c r="O329" s="29"/>
      <c r="Q329" s="2" t="s">
        <v>996</v>
      </c>
      <c r="R329" s="2" t="s">
        <v>997</v>
      </c>
      <c r="S329" s="4">
        <v>2024.0</v>
      </c>
      <c r="T329" s="30"/>
      <c r="U329" s="2" t="s">
        <v>998</v>
      </c>
    </row>
    <row r="330">
      <c r="A330" s="2" t="s">
        <v>1547</v>
      </c>
      <c r="B330" s="2" t="s">
        <v>17</v>
      </c>
      <c r="C330" s="4">
        <v>2024.0</v>
      </c>
      <c r="D330" s="4">
        <v>3.0</v>
      </c>
      <c r="E330" s="29"/>
      <c r="F330" s="4">
        <v>1.0</v>
      </c>
      <c r="G330" s="2" t="s">
        <v>602</v>
      </c>
      <c r="H330" s="5" t="s">
        <v>169</v>
      </c>
      <c r="I330" s="2" t="s">
        <v>55</v>
      </c>
      <c r="J330" s="5">
        <v>911000.0</v>
      </c>
      <c r="K330" s="4" t="s">
        <v>994</v>
      </c>
      <c r="L330" s="3">
        <v>46185.84468155092</v>
      </c>
      <c r="M330" s="2" t="s">
        <v>995</v>
      </c>
      <c r="N330" s="29"/>
      <c r="O330" s="29"/>
      <c r="Q330" s="2" t="s">
        <v>996</v>
      </c>
      <c r="R330" s="2" t="s">
        <v>997</v>
      </c>
      <c r="S330" s="4">
        <v>2024.0</v>
      </c>
      <c r="T330" s="30"/>
      <c r="U330" s="2" t="s">
        <v>998</v>
      </c>
    </row>
    <row r="331">
      <c r="A331" s="2" t="s">
        <v>1548</v>
      </c>
      <c r="B331" s="2" t="s">
        <v>17</v>
      </c>
      <c r="C331" s="4">
        <v>2024.0</v>
      </c>
      <c r="D331" s="4">
        <v>3.0</v>
      </c>
      <c r="E331" s="29"/>
      <c r="F331" s="4">
        <v>1.0</v>
      </c>
      <c r="G331" s="2" t="s">
        <v>602</v>
      </c>
      <c r="H331" s="5" t="s">
        <v>176</v>
      </c>
      <c r="I331" s="2" t="s">
        <v>55</v>
      </c>
      <c r="J331" s="5">
        <v>1549000.0</v>
      </c>
      <c r="K331" s="4" t="s">
        <v>994</v>
      </c>
      <c r="L331" s="3">
        <v>46185.84468155092</v>
      </c>
      <c r="M331" s="2" t="s">
        <v>995</v>
      </c>
      <c r="N331" s="29"/>
      <c r="O331" s="29"/>
      <c r="Q331" s="2" t="s">
        <v>996</v>
      </c>
      <c r="R331" s="2" t="s">
        <v>997</v>
      </c>
      <c r="S331" s="4">
        <v>2024.0</v>
      </c>
      <c r="T331" s="30"/>
      <c r="U331" s="2" t="s">
        <v>998</v>
      </c>
    </row>
    <row r="332">
      <c r="A332" s="2" t="s">
        <v>1549</v>
      </c>
      <c r="B332" s="2" t="s">
        <v>17</v>
      </c>
      <c r="C332" s="4">
        <v>2024.0</v>
      </c>
      <c r="D332" s="4">
        <v>3.0</v>
      </c>
      <c r="E332" s="29"/>
      <c r="F332" s="4">
        <v>1.0</v>
      </c>
      <c r="G332" s="2" t="s">
        <v>602</v>
      </c>
      <c r="H332" s="5" t="s">
        <v>183</v>
      </c>
      <c r="I332" s="2" t="s">
        <v>55</v>
      </c>
      <c r="J332" s="5">
        <v>300000.0</v>
      </c>
      <c r="K332" s="4" t="s">
        <v>994</v>
      </c>
      <c r="L332" s="3">
        <v>46185.84468155092</v>
      </c>
      <c r="M332" s="2" t="s">
        <v>995</v>
      </c>
      <c r="N332" s="29"/>
      <c r="O332" s="29"/>
      <c r="Q332" s="2" t="s">
        <v>996</v>
      </c>
      <c r="R332" s="2" t="s">
        <v>997</v>
      </c>
      <c r="S332" s="4">
        <v>2024.0</v>
      </c>
      <c r="T332" s="30"/>
      <c r="U332" s="2" t="s">
        <v>998</v>
      </c>
    </row>
    <row r="333">
      <c r="A333" s="2" t="s">
        <v>1550</v>
      </c>
      <c r="B333" s="2" t="s">
        <v>17</v>
      </c>
      <c r="C333" s="4">
        <v>2024.0</v>
      </c>
      <c r="D333" s="4">
        <v>3.0</v>
      </c>
      <c r="E333" s="29"/>
      <c r="F333" s="4">
        <v>1.0</v>
      </c>
      <c r="G333" s="2" t="s">
        <v>602</v>
      </c>
      <c r="H333" s="5" t="s">
        <v>188</v>
      </c>
      <c r="I333" s="2" t="s">
        <v>55</v>
      </c>
      <c r="J333" s="5">
        <v>100000.0</v>
      </c>
      <c r="K333" s="4" t="s">
        <v>994</v>
      </c>
      <c r="L333" s="3">
        <v>46185.84468155092</v>
      </c>
      <c r="M333" s="2" t="s">
        <v>995</v>
      </c>
      <c r="N333" s="29"/>
      <c r="O333" s="29"/>
      <c r="Q333" s="2" t="s">
        <v>996</v>
      </c>
      <c r="R333" s="2" t="s">
        <v>997</v>
      </c>
      <c r="S333" s="4">
        <v>2024.0</v>
      </c>
      <c r="T333" s="30"/>
      <c r="U333" s="2" t="s">
        <v>998</v>
      </c>
    </row>
    <row r="334">
      <c r="A334" s="2" t="s">
        <v>1551</v>
      </c>
      <c r="B334" s="2" t="s">
        <v>17</v>
      </c>
      <c r="C334" s="4">
        <v>2024.0</v>
      </c>
      <c r="D334" s="4">
        <v>3.0</v>
      </c>
      <c r="E334" s="29"/>
      <c r="F334" s="4">
        <v>1.0</v>
      </c>
      <c r="G334" s="2" t="s">
        <v>607</v>
      </c>
      <c r="H334" s="5" t="s">
        <v>607</v>
      </c>
      <c r="I334" s="2" t="s">
        <v>55</v>
      </c>
      <c r="J334" s="5">
        <v>1.155E7</v>
      </c>
      <c r="K334" s="4" t="s">
        <v>994</v>
      </c>
      <c r="L334" s="3">
        <v>46185.84468155092</v>
      </c>
      <c r="M334" s="2" t="s">
        <v>995</v>
      </c>
      <c r="N334" s="29"/>
      <c r="O334" s="29"/>
      <c r="Q334" s="2" t="s">
        <v>996</v>
      </c>
      <c r="R334" s="2" t="s">
        <v>997</v>
      </c>
      <c r="S334" s="4">
        <v>2024.0</v>
      </c>
      <c r="T334" s="30"/>
      <c r="U334" s="2" t="s">
        <v>998</v>
      </c>
    </row>
    <row r="335">
      <c r="A335" s="2" t="s">
        <v>1552</v>
      </c>
      <c r="B335" s="2" t="s">
        <v>17</v>
      </c>
      <c r="C335" s="4">
        <v>2024.0</v>
      </c>
      <c r="D335" s="4">
        <v>3.0</v>
      </c>
      <c r="E335" s="29"/>
      <c r="F335" s="4">
        <v>1.0</v>
      </c>
      <c r="G335" s="2" t="s">
        <v>602</v>
      </c>
      <c r="H335" s="5" t="s">
        <v>935</v>
      </c>
      <c r="I335" s="2" t="s">
        <v>55</v>
      </c>
      <c r="J335" s="5">
        <v>6900000.0</v>
      </c>
      <c r="K335" s="4" t="s">
        <v>994</v>
      </c>
      <c r="L335" s="3">
        <v>46185.84468155092</v>
      </c>
      <c r="M335" s="2" t="s">
        <v>995</v>
      </c>
      <c r="N335" s="29"/>
      <c r="O335" s="29"/>
      <c r="Q335" s="2" t="s">
        <v>996</v>
      </c>
      <c r="R335" s="2" t="s">
        <v>997</v>
      </c>
      <c r="S335" s="4">
        <v>2024.0</v>
      </c>
      <c r="T335" s="30"/>
      <c r="U335" s="2" t="s">
        <v>998</v>
      </c>
    </row>
    <row r="336">
      <c r="A336" s="2" t="s">
        <v>1553</v>
      </c>
      <c r="B336" s="2" t="s">
        <v>17</v>
      </c>
      <c r="C336" s="4">
        <v>2024.0</v>
      </c>
      <c r="D336" s="4">
        <v>3.0</v>
      </c>
      <c r="E336" s="29"/>
      <c r="F336" s="4">
        <v>2.0</v>
      </c>
      <c r="G336" s="2" t="s">
        <v>602</v>
      </c>
      <c r="H336" s="5" t="s">
        <v>169</v>
      </c>
      <c r="I336" s="2" t="s">
        <v>64</v>
      </c>
      <c r="J336" s="5">
        <v>1016000.0</v>
      </c>
      <c r="K336" s="4" t="s">
        <v>994</v>
      </c>
      <c r="L336" s="3">
        <v>46185.84468155092</v>
      </c>
      <c r="M336" s="2" t="s">
        <v>995</v>
      </c>
      <c r="N336" s="29"/>
      <c r="O336" s="29"/>
      <c r="Q336" s="2" t="s">
        <v>996</v>
      </c>
      <c r="R336" s="2" t="s">
        <v>997</v>
      </c>
      <c r="S336" s="4">
        <v>2024.0</v>
      </c>
      <c r="T336" s="30"/>
      <c r="U336" s="2" t="s">
        <v>998</v>
      </c>
    </row>
    <row r="337">
      <c r="A337" s="2" t="s">
        <v>1554</v>
      </c>
      <c r="B337" s="2" t="s">
        <v>17</v>
      </c>
      <c r="C337" s="4">
        <v>2024.0</v>
      </c>
      <c r="D337" s="4">
        <v>3.0</v>
      </c>
      <c r="E337" s="29"/>
      <c r="F337" s="4">
        <v>2.0</v>
      </c>
      <c r="G337" s="2" t="s">
        <v>602</v>
      </c>
      <c r="H337" s="5" t="s">
        <v>176</v>
      </c>
      <c r="I337" s="2" t="s">
        <v>64</v>
      </c>
      <c r="J337" s="5">
        <v>1727000.0</v>
      </c>
      <c r="K337" s="4" t="s">
        <v>994</v>
      </c>
      <c r="L337" s="3">
        <v>46185.84468155092</v>
      </c>
      <c r="M337" s="2" t="s">
        <v>995</v>
      </c>
      <c r="N337" s="29"/>
      <c r="O337" s="29"/>
      <c r="Q337" s="2" t="s">
        <v>996</v>
      </c>
      <c r="R337" s="2" t="s">
        <v>997</v>
      </c>
      <c r="S337" s="4">
        <v>2024.0</v>
      </c>
      <c r="T337" s="30"/>
      <c r="U337" s="2" t="s">
        <v>998</v>
      </c>
    </row>
    <row r="338">
      <c r="A338" s="2" t="s">
        <v>1555</v>
      </c>
      <c r="B338" s="2" t="s">
        <v>17</v>
      </c>
      <c r="C338" s="4">
        <v>2024.0</v>
      </c>
      <c r="D338" s="4">
        <v>3.0</v>
      </c>
      <c r="E338" s="29"/>
      <c r="F338" s="4">
        <v>2.0</v>
      </c>
      <c r="G338" s="2" t="s">
        <v>602</v>
      </c>
      <c r="H338" s="5" t="s">
        <v>183</v>
      </c>
      <c r="I338" s="2" t="s">
        <v>64</v>
      </c>
      <c r="J338" s="5">
        <v>300000.0</v>
      </c>
      <c r="K338" s="4" t="s">
        <v>994</v>
      </c>
      <c r="L338" s="3">
        <v>46185.84468155092</v>
      </c>
      <c r="M338" s="2" t="s">
        <v>995</v>
      </c>
      <c r="N338" s="29"/>
      <c r="O338" s="29"/>
      <c r="Q338" s="2" t="s">
        <v>996</v>
      </c>
      <c r="R338" s="2" t="s">
        <v>997</v>
      </c>
      <c r="S338" s="4">
        <v>2024.0</v>
      </c>
      <c r="T338" s="30"/>
      <c r="U338" s="2" t="s">
        <v>998</v>
      </c>
    </row>
    <row r="339">
      <c r="A339" s="2" t="s">
        <v>1556</v>
      </c>
      <c r="B339" s="2" t="s">
        <v>17</v>
      </c>
      <c r="C339" s="4">
        <v>2024.0</v>
      </c>
      <c r="D339" s="4">
        <v>3.0</v>
      </c>
      <c r="E339" s="29"/>
      <c r="F339" s="4">
        <v>2.0</v>
      </c>
      <c r="G339" s="2" t="s">
        <v>602</v>
      </c>
      <c r="H339" s="5" t="s">
        <v>188</v>
      </c>
      <c r="I339" s="2" t="s">
        <v>64</v>
      </c>
      <c r="J339" s="5">
        <v>100000.0</v>
      </c>
      <c r="K339" s="4" t="s">
        <v>994</v>
      </c>
      <c r="L339" s="3">
        <v>46185.84468155092</v>
      </c>
      <c r="M339" s="2" t="s">
        <v>995</v>
      </c>
      <c r="N339" s="29"/>
      <c r="O339" s="29"/>
      <c r="Q339" s="2" t="s">
        <v>996</v>
      </c>
      <c r="R339" s="2" t="s">
        <v>997</v>
      </c>
      <c r="S339" s="4">
        <v>2024.0</v>
      </c>
      <c r="T339" s="30"/>
      <c r="U339" s="2" t="s">
        <v>998</v>
      </c>
    </row>
    <row r="340">
      <c r="A340" s="2" t="s">
        <v>1557</v>
      </c>
      <c r="B340" s="2" t="s">
        <v>17</v>
      </c>
      <c r="C340" s="4">
        <v>2024.0</v>
      </c>
      <c r="D340" s="4">
        <v>3.0</v>
      </c>
      <c r="E340" s="29"/>
      <c r="F340" s="4">
        <v>2.0</v>
      </c>
      <c r="G340" s="2" t="s">
        <v>602</v>
      </c>
      <c r="H340" s="5" t="s">
        <v>239</v>
      </c>
      <c r="I340" s="2" t="s">
        <v>64</v>
      </c>
      <c r="J340" s="5">
        <v>4450000.0</v>
      </c>
      <c r="K340" s="4" t="s">
        <v>994</v>
      </c>
      <c r="L340" s="3">
        <v>46185.84468155092</v>
      </c>
      <c r="M340" s="2" t="s">
        <v>995</v>
      </c>
      <c r="N340" s="29"/>
      <c r="O340" s="29"/>
      <c r="Q340" s="2" t="s">
        <v>996</v>
      </c>
      <c r="R340" s="2" t="s">
        <v>997</v>
      </c>
      <c r="S340" s="4">
        <v>2024.0</v>
      </c>
      <c r="T340" s="30"/>
      <c r="U340" s="2" t="s">
        <v>998</v>
      </c>
    </row>
    <row r="341">
      <c r="A341" s="2" t="s">
        <v>1558</v>
      </c>
      <c r="B341" s="2" t="s">
        <v>17</v>
      </c>
      <c r="C341" s="4">
        <v>2024.0</v>
      </c>
      <c r="D341" s="4">
        <v>3.0</v>
      </c>
      <c r="E341" s="29"/>
      <c r="F341" s="4">
        <v>2.0</v>
      </c>
      <c r="G341" s="2" t="s">
        <v>602</v>
      </c>
      <c r="H341" s="5" t="s">
        <v>936</v>
      </c>
      <c r="I341" s="2" t="s">
        <v>64</v>
      </c>
      <c r="J341" s="5">
        <v>6600000.0</v>
      </c>
      <c r="K341" s="4" t="s">
        <v>994</v>
      </c>
      <c r="L341" s="3">
        <v>46185.84468155092</v>
      </c>
      <c r="M341" s="2" t="s">
        <v>995</v>
      </c>
      <c r="N341" s="29"/>
      <c r="O341" s="29"/>
      <c r="Q341" s="2" t="s">
        <v>996</v>
      </c>
      <c r="R341" s="2" t="s">
        <v>997</v>
      </c>
      <c r="S341" s="4">
        <v>2024.0</v>
      </c>
      <c r="T341" s="30"/>
      <c r="U341" s="2" t="s">
        <v>998</v>
      </c>
    </row>
    <row r="342">
      <c r="A342" s="2" t="s">
        <v>1559</v>
      </c>
      <c r="B342" s="2" t="s">
        <v>17</v>
      </c>
      <c r="C342" s="4">
        <v>2024.0</v>
      </c>
      <c r="D342" s="4">
        <v>3.0</v>
      </c>
      <c r="E342" s="29"/>
      <c r="F342" s="4">
        <v>2.0</v>
      </c>
      <c r="G342" s="2" t="s">
        <v>602</v>
      </c>
      <c r="H342" s="5" t="s">
        <v>935</v>
      </c>
      <c r="I342" s="2" t="s">
        <v>64</v>
      </c>
      <c r="J342" s="5">
        <v>5884000.0</v>
      </c>
      <c r="K342" s="4" t="s">
        <v>994</v>
      </c>
      <c r="L342" s="3">
        <v>46185.84468155092</v>
      </c>
      <c r="M342" s="2" t="s">
        <v>995</v>
      </c>
      <c r="N342" s="29"/>
      <c r="O342" s="29"/>
      <c r="Q342" s="2" t="s">
        <v>996</v>
      </c>
      <c r="R342" s="2" t="s">
        <v>997</v>
      </c>
      <c r="S342" s="4">
        <v>2024.0</v>
      </c>
      <c r="T342" s="30"/>
      <c r="U342" s="2" t="s">
        <v>998</v>
      </c>
    </row>
    <row r="343">
      <c r="A343" s="2" t="s">
        <v>1560</v>
      </c>
      <c r="B343" s="2" t="s">
        <v>17</v>
      </c>
      <c r="C343" s="4">
        <v>2024.0</v>
      </c>
      <c r="D343" s="4">
        <v>4.0</v>
      </c>
      <c r="E343" s="29"/>
      <c r="F343" s="4">
        <v>1.0</v>
      </c>
      <c r="G343" s="2" t="s">
        <v>602</v>
      </c>
      <c r="H343" s="5" t="s">
        <v>169</v>
      </c>
      <c r="I343" s="2" t="s">
        <v>70</v>
      </c>
      <c r="J343" s="5">
        <v>1171000.0</v>
      </c>
      <c r="K343" s="4" t="s">
        <v>994</v>
      </c>
      <c r="L343" s="3">
        <v>46185.84468155092</v>
      </c>
      <c r="M343" s="2" t="s">
        <v>995</v>
      </c>
      <c r="N343" s="29"/>
      <c r="O343" s="29"/>
      <c r="Q343" s="2" t="s">
        <v>996</v>
      </c>
      <c r="R343" s="2" t="s">
        <v>997</v>
      </c>
      <c r="S343" s="4">
        <v>2024.0</v>
      </c>
      <c r="T343" s="30"/>
      <c r="U343" s="2" t="s">
        <v>998</v>
      </c>
    </row>
    <row r="344">
      <c r="A344" s="2" t="s">
        <v>1561</v>
      </c>
      <c r="B344" s="2" t="s">
        <v>17</v>
      </c>
      <c r="C344" s="4">
        <v>2024.0</v>
      </c>
      <c r="D344" s="4">
        <v>4.0</v>
      </c>
      <c r="E344" s="29"/>
      <c r="F344" s="4">
        <v>1.0</v>
      </c>
      <c r="G344" s="2" t="s">
        <v>602</v>
      </c>
      <c r="H344" s="5" t="s">
        <v>176</v>
      </c>
      <c r="I344" s="2" t="s">
        <v>70</v>
      </c>
      <c r="J344" s="5">
        <v>1991000.0</v>
      </c>
      <c r="K344" s="4" t="s">
        <v>994</v>
      </c>
      <c r="L344" s="3">
        <v>46185.84468155092</v>
      </c>
      <c r="M344" s="2" t="s">
        <v>995</v>
      </c>
      <c r="N344" s="29"/>
      <c r="O344" s="29"/>
      <c r="Q344" s="2" t="s">
        <v>996</v>
      </c>
      <c r="R344" s="2" t="s">
        <v>997</v>
      </c>
      <c r="S344" s="4">
        <v>2024.0</v>
      </c>
      <c r="T344" s="30"/>
      <c r="U344" s="2" t="s">
        <v>998</v>
      </c>
    </row>
    <row r="345">
      <c r="A345" s="2" t="s">
        <v>1562</v>
      </c>
      <c r="B345" s="2" t="s">
        <v>17</v>
      </c>
      <c r="C345" s="4">
        <v>2024.0</v>
      </c>
      <c r="D345" s="4">
        <v>4.0</v>
      </c>
      <c r="E345" s="29"/>
      <c r="F345" s="4">
        <v>1.0</v>
      </c>
      <c r="G345" s="2" t="s">
        <v>602</v>
      </c>
      <c r="H345" s="5" t="s">
        <v>183</v>
      </c>
      <c r="I345" s="2" t="s">
        <v>70</v>
      </c>
      <c r="J345" s="5">
        <v>300000.0</v>
      </c>
      <c r="K345" s="4" t="s">
        <v>994</v>
      </c>
      <c r="L345" s="3">
        <v>46185.84468155092</v>
      </c>
      <c r="M345" s="2" t="s">
        <v>995</v>
      </c>
      <c r="N345" s="29"/>
      <c r="O345" s="29"/>
      <c r="Q345" s="2" t="s">
        <v>996</v>
      </c>
      <c r="R345" s="2" t="s">
        <v>997</v>
      </c>
      <c r="S345" s="4">
        <v>2024.0</v>
      </c>
      <c r="T345" s="30"/>
      <c r="U345" s="2" t="s">
        <v>998</v>
      </c>
    </row>
    <row r="346">
      <c r="A346" s="2" t="s">
        <v>1563</v>
      </c>
      <c r="B346" s="2" t="s">
        <v>17</v>
      </c>
      <c r="C346" s="4">
        <v>2024.0</v>
      </c>
      <c r="D346" s="4">
        <v>4.0</v>
      </c>
      <c r="E346" s="29"/>
      <c r="F346" s="4">
        <v>1.0</v>
      </c>
      <c r="G346" s="2" t="s">
        <v>602</v>
      </c>
      <c r="H346" s="5" t="s">
        <v>188</v>
      </c>
      <c r="I346" s="2" t="s">
        <v>70</v>
      </c>
      <c r="J346" s="5">
        <v>100000.0</v>
      </c>
      <c r="K346" s="4" t="s">
        <v>994</v>
      </c>
      <c r="L346" s="3">
        <v>46185.84468155092</v>
      </c>
      <c r="M346" s="2" t="s">
        <v>995</v>
      </c>
      <c r="N346" s="29"/>
      <c r="O346" s="29"/>
      <c r="Q346" s="2" t="s">
        <v>996</v>
      </c>
      <c r="R346" s="2" t="s">
        <v>997</v>
      </c>
      <c r="S346" s="4">
        <v>2024.0</v>
      </c>
      <c r="T346" s="30"/>
      <c r="U346" s="2" t="s">
        <v>998</v>
      </c>
    </row>
    <row r="347">
      <c r="A347" s="2" t="s">
        <v>1564</v>
      </c>
      <c r="B347" s="2" t="s">
        <v>17</v>
      </c>
      <c r="C347" s="4">
        <v>2024.0</v>
      </c>
      <c r="D347" s="4">
        <v>4.0</v>
      </c>
      <c r="E347" s="29"/>
      <c r="F347" s="4">
        <v>1.0</v>
      </c>
      <c r="G347" s="2" t="s">
        <v>602</v>
      </c>
      <c r="H347" s="5" t="s">
        <v>239</v>
      </c>
      <c r="I347" s="2" t="s">
        <v>70</v>
      </c>
      <c r="J347" s="5">
        <v>4000000.0</v>
      </c>
      <c r="K347" s="4" t="s">
        <v>994</v>
      </c>
      <c r="L347" s="3">
        <v>46185.84468155092</v>
      </c>
      <c r="M347" s="2" t="s">
        <v>995</v>
      </c>
      <c r="N347" s="29"/>
      <c r="O347" s="29"/>
      <c r="Q347" s="2" t="s">
        <v>996</v>
      </c>
      <c r="R347" s="2" t="s">
        <v>997</v>
      </c>
      <c r="S347" s="4">
        <v>2024.0</v>
      </c>
      <c r="T347" s="30"/>
      <c r="U347" s="2" t="s">
        <v>998</v>
      </c>
    </row>
    <row r="348">
      <c r="A348" s="2" t="s">
        <v>1565</v>
      </c>
      <c r="B348" s="2" t="s">
        <v>17</v>
      </c>
      <c r="C348" s="4">
        <v>2024.0</v>
      </c>
      <c r="D348" s="4">
        <v>4.0</v>
      </c>
      <c r="E348" s="29"/>
      <c r="F348" s="4">
        <v>1.0</v>
      </c>
      <c r="G348" s="2" t="s">
        <v>607</v>
      </c>
      <c r="H348" s="5" t="s">
        <v>607</v>
      </c>
      <c r="I348" s="2" t="s">
        <v>70</v>
      </c>
      <c r="J348" s="5">
        <v>1.095E7</v>
      </c>
      <c r="K348" s="4" t="s">
        <v>994</v>
      </c>
      <c r="L348" s="3">
        <v>46185.84468155092</v>
      </c>
      <c r="M348" s="2" t="s">
        <v>995</v>
      </c>
      <c r="N348" s="29"/>
      <c r="O348" s="29"/>
      <c r="Q348" s="2" t="s">
        <v>996</v>
      </c>
      <c r="R348" s="2" t="s">
        <v>997</v>
      </c>
      <c r="S348" s="4">
        <v>2024.0</v>
      </c>
      <c r="T348" s="30"/>
      <c r="U348" s="2" t="s">
        <v>998</v>
      </c>
    </row>
    <row r="349">
      <c r="A349" s="2" t="s">
        <v>1566</v>
      </c>
      <c r="B349" s="2" t="s">
        <v>17</v>
      </c>
      <c r="C349" s="4">
        <v>2024.0</v>
      </c>
      <c r="D349" s="4">
        <v>4.0</v>
      </c>
      <c r="E349" s="29"/>
      <c r="F349" s="4">
        <v>1.0</v>
      </c>
      <c r="G349" s="2" t="s">
        <v>602</v>
      </c>
      <c r="H349" s="5" t="s">
        <v>935</v>
      </c>
      <c r="I349" s="2" t="s">
        <v>70</v>
      </c>
      <c r="J349" s="5">
        <v>680000.0</v>
      </c>
      <c r="K349" s="4" t="s">
        <v>994</v>
      </c>
      <c r="L349" s="3">
        <v>46185.84468155092</v>
      </c>
      <c r="M349" s="2" t="s">
        <v>995</v>
      </c>
      <c r="N349" s="29"/>
      <c r="O349" s="29"/>
      <c r="Q349" s="2" t="s">
        <v>996</v>
      </c>
      <c r="R349" s="2" t="s">
        <v>997</v>
      </c>
      <c r="S349" s="4">
        <v>2024.0</v>
      </c>
      <c r="T349" s="30"/>
      <c r="U349" s="2" t="s">
        <v>998</v>
      </c>
    </row>
    <row r="350">
      <c r="A350" s="2" t="s">
        <v>1567</v>
      </c>
      <c r="B350" s="2" t="s">
        <v>17</v>
      </c>
      <c r="C350" s="4">
        <v>2024.0</v>
      </c>
      <c r="D350" s="4">
        <v>4.0</v>
      </c>
      <c r="E350" s="29"/>
      <c r="F350" s="4">
        <v>2.0</v>
      </c>
      <c r="G350" s="2" t="s">
        <v>602</v>
      </c>
      <c r="H350" s="5" t="s">
        <v>169</v>
      </c>
      <c r="I350" s="2" t="s">
        <v>77</v>
      </c>
      <c r="J350" s="5">
        <v>919000.0</v>
      </c>
      <c r="K350" s="4" t="s">
        <v>994</v>
      </c>
      <c r="L350" s="3">
        <v>46185.84468155092</v>
      </c>
      <c r="M350" s="2" t="s">
        <v>995</v>
      </c>
      <c r="N350" s="29"/>
      <c r="O350" s="29"/>
      <c r="Q350" s="2" t="s">
        <v>996</v>
      </c>
      <c r="R350" s="2" t="s">
        <v>997</v>
      </c>
      <c r="S350" s="4">
        <v>2024.0</v>
      </c>
      <c r="T350" s="30"/>
      <c r="U350" s="2" t="s">
        <v>998</v>
      </c>
    </row>
    <row r="351">
      <c r="A351" s="2" t="s">
        <v>1568</v>
      </c>
      <c r="B351" s="2" t="s">
        <v>17</v>
      </c>
      <c r="C351" s="4">
        <v>2024.0</v>
      </c>
      <c r="D351" s="4">
        <v>4.0</v>
      </c>
      <c r="E351" s="29"/>
      <c r="F351" s="4">
        <v>2.0</v>
      </c>
      <c r="G351" s="2" t="s">
        <v>602</v>
      </c>
      <c r="H351" s="5" t="s">
        <v>176</v>
      </c>
      <c r="I351" s="2" t="s">
        <v>77</v>
      </c>
      <c r="J351" s="5">
        <v>1562000.0</v>
      </c>
      <c r="K351" s="4" t="s">
        <v>994</v>
      </c>
      <c r="L351" s="3">
        <v>46185.84468155092</v>
      </c>
      <c r="M351" s="2" t="s">
        <v>995</v>
      </c>
      <c r="N351" s="29"/>
      <c r="O351" s="29"/>
      <c r="Q351" s="2" t="s">
        <v>996</v>
      </c>
      <c r="R351" s="2" t="s">
        <v>997</v>
      </c>
      <c r="S351" s="4">
        <v>2024.0</v>
      </c>
      <c r="T351" s="30"/>
      <c r="U351" s="2" t="s">
        <v>998</v>
      </c>
    </row>
    <row r="352">
      <c r="A352" s="2" t="s">
        <v>1569</v>
      </c>
      <c r="B352" s="2" t="s">
        <v>17</v>
      </c>
      <c r="C352" s="4">
        <v>2024.0</v>
      </c>
      <c r="D352" s="4">
        <v>4.0</v>
      </c>
      <c r="E352" s="29"/>
      <c r="F352" s="4">
        <v>2.0</v>
      </c>
      <c r="G352" s="2" t="s">
        <v>602</v>
      </c>
      <c r="H352" s="5" t="s">
        <v>183</v>
      </c>
      <c r="I352" s="2" t="s">
        <v>77</v>
      </c>
      <c r="J352" s="5">
        <v>300000.0</v>
      </c>
      <c r="K352" s="4" t="s">
        <v>994</v>
      </c>
      <c r="L352" s="3">
        <v>46185.84468155092</v>
      </c>
      <c r="M352" s="2" t="s">
        <v>995</v>
      </c>
      <c r="N352" s="29"/>
      <c r="O352" s="29"/>
      <c r="Q352" s="2" t="s">
        <v>996</v>
      </c>
      <c r="R352" s="2" t="s">
        <v>997</v>
      </c>
      <c r="S352" s="4">
        <v>2024.0</v>
      </c>
      <c r="T352" s="30"/>
      <c r="U352" s="2" t="s">
        <v>998</v>
      </c>
    </row>
    <row r="353">
      <c r="A353" s="2" t="s">
        <v>1570</v>
      </c>
      <c r="B353" s="2" t="s">
        <v>17</v>
      </c>
      <c r="C353" s="4">
        <v>2024.0</v>
      </c>
      <c r="D353" s="4">
        <v>4.0</v>
      </c>
      <c r="E353" s="29"/>
      <c r="F353" s="4">
        <v>2.0</v>
      </c>
      <c r="G353" s="2" t="s">
        <v>602</v>
      </c>
      <c r="H353" s="5" t="s">
        <v>188</v>
      </c>
      <c r="I353" s="2" t="s">
        <v>77</v>
      </c>
      <c r="J353" s="5">
        <v>100000.0</v>
      </c>
      <c r="K353" s="4" t="s">
        <v>994</v>
      </c>
      <c r="L353" s="3">
        <v>46185.84468155092</v>
      </c>
      <c r="M353" s="2" t="s">
        <v>995</v>
      </c>
      <c r="N353" s="29"/>
      <c r="O353" s="29"/>
      <c r="Q353" s="2" t="s">
        <v>996</v>
      </c>
      <c r="R353" s="2" t="s">
        <v>997</v>
      </c>
      <c r="S353" s="4">
        <v>2024.0</v>
      </c>
      <c r="T353" s="30"/>
      <c r="U353" s="2" t="s">
        <v>998</v>
      </c>
    </row>
    <row r="354">
      <c r="A354" s="2" t="s">
        <v>1571</v>
      </c>
      <c r="B354" s="2" t="s">
        <v>17</v>
      </c>
      <c r="C354" s="4">
        <v>2024.0</v>
      </c>
      <c r="D354" s="4">
        <v>4.0</v>
      </c>
      <c r="E354" s="29"/>
      <c r="F354" s="4">
        <v>2.0</v>
      </c>
      <c r="G354" s="2" t="s">
        <v>237</v>
      </c>
      <c r="H354" s="5" t="s">
        <v>237</v>
      </c>
      <c r="I354" s="2" t="s">
        <v>77</v>
      </c>
      <c r="J354" s="5">
        <v>5800000.0</v>
      </c>
      <c r="K354" s="4" t="s">
        <v>994</v>
      </c>
      <c r="L354" s="3">
        <v>46185.84468155092</v>
      </c>
      <c r="M354" s="2" t="s">
        <v>995</v>
      </c>
      <c r="N354" s="29"/>
      <c r="O354" s="29"/>
      <c r="Q354" s="2" t="s">
        <v>996</v>
      </c>
      <c r="R354" s="2" t="s">
        <v>997</v>
      </c>
      <c r="S354" s="4">
        <v>2024.0</v>
      </c>
      <c r="T354" s="30"/>
      <c r="U354" s="2" t="s">
        <v>998</v>
      </c>
    </row>
    <row r="355">
      <c r="A355" s="2" t="s">
        <v>1572</v>
      </c>
      <c r="B355" s="2" t="s">
        <v>17</v>
      </c>
      <c r="C355" s="4">
        <v>2024.0</v>
      </c>
      <c r="D355" s="4">
        <v>4.0</v>
      </c>
      <c r="E355" s="29"/>
      <c r="F355" s="4">
        <v>2.0</v>
      </c>
      <c r="G355" s="2" t="s">
        <v>602</v>
      </c>
      <c r="H355" s="5" t="s">
        <v>936</v>
      </c>
      <c r="I355" s="2" t="s">
        <v>77</v>
      </c>
      <c r="J355" s="5">
        <v>6000000.0</v>
      </c>
      <c r="K355" s="4" t="s">
        <v>994</v>
      </c>
      <c r="L355" s="3">
        <v>46185.84468155092</v>
      </c>
      <c r="M355" s="2" t="s">
        <v>995</v>
      </c>
      <c r="N355" s="29"/>
      <c r="O355" s="29"/>
      <c r="Q355" s="2" t="s">
        <v>996</v>
      </c>
      <c r="R355" s="2" t="s">
        <v>997</v>
      </c>
      <c r="S355" s="4">
        <v>2024.0</v>
      </c>
      <c r="T355" s="30"/>
      <c r="U355" s="2" t="s">
        <v>998</v>
      </c>
    </row>
    <row r="356">
      <c r="A356" s="2" t="s">
        <v>1573</v>
      </c>
      <c r="B356" s="2" t="s">
        <v>17</v>
      </c>
      <c r="C356" s="4">
        <v>2024.0</v>
      </c>
      <c r="D356" s="4">
        <v>4.0</v>
      </c>
      <c r="E356" s="29"/>
      <c r="F356" s="4">
        <v>2.0</v>
      </c>
      <c r="G356" s="2" t="s">
        <v>602</v>
      </c>
      <c r="H356" s="5" t="s">
        <v>935</v>
      </c>
      <c r="I356" s="2" t="s">
        <v>77</v>
      </c>
      <c r="J356" s="5">
        <v>2800000.0</v>
      </c>
      <c r="K356" s="4" t="s">
        <v>994</v>
      </c>
      <c r="L356" s="3">
        <v>46185.84468155092</v>
      </c>
      <c r="M356" s="2" t="s">
        <v>995</v>
      </c>
      <c r="N356" s="29"/>
      <c r="O356" s="29"/>
      <c r="Q356" s="2" t="s">
        <v>996</v>
      </c>
      <c r="R356" s="2" t="s">
        <v>997</v>
      </c>
      <c r="S356" s="4">
        <v>2024.0</v>
      </c>
      <c r="T356" s="30"/>
      <c r="U356" s="2" t="s">
        <v>998</v>
      </c>
    </row>
    <row r="357">
      <c r="A357" s="2" t="s">
        <v>1574</v>
      </c>
      <c r="B357" s="2" t="s">
        <v>17</v>
      </c>
      <c r="C357" s="4">
        <v>2024.0</v>
      </c>
      <c r="D357" s="4">
        <v>5.0</v>
      </c>
      <c r="E357" s="29"/>
      <c r="F357" s="4">
        <v>1.0</v>
      </c>
      <c r="G357" s="2" t="s">
        <v>602</v>
      </c>
      <c r="H357" s="5" t="s">
        <v>169</v>
      </c>
      <c r="I357" s="2" t="s">
        <v>83</v>
      </c>
      <c r="J357" s="5">
        <v>1712000.0</v>
      </c>
      <c r="K357" s="4" t="s">
        <v>994</v>
      </c>
      <c r="L357" s="3">
        <v>46185.84468155092</v>
      </c>
      <c r="M357" s="2" t="s">
        <v>995</v>
      </c>
      <c r="N357" s="29"/>
      <c r="O357" s="29"/>
      <c r="Q357" s="2" t="s">
        <v>996</v>
      </c>
      <c r="R357" s="2" t="s">
        <v>997</v>
      </c>
      <c r="S357" s="4">
        <v>2024.0</v>
      </c>
      <c r="T357" s="30"/>
      <c r="U357" s="2" t="s">
        <v>998</v>
      </c>
    </row>
    <row r="358">
      <c r="A358" s="2" t="s">
        <v>1575</v>
      </c>
      <c r="B358" s="2" t="s">
        <v>17</v>
      </c>
      <c r="C358" s="4">
        <v>2024.0</v>
      </c>
      <c r="D358" s="4">
        <v>5.0</v>
      </c>
      <c r="E358" s="29"/>
      <c r="F358" s="4">
        <v>1.0</v>
      </c>
      <c r="G358" s="2" t="s">
        <v>602</v>
      </c>
      <c r="H358" s="5" t="s">
        <v>176</v>
      </c>
      <c r="I358" s="2" t="s">
        <v>83</v>
      </c>
      <c r="J358" s="5">
        <v>2910000.0</v>
      </c>
      <c r="K358" s="4" t="s">
        <v>994</v>
      </c>
      <c r="L358" s="3">
        <v>46185.84468155092</v>
      </c>
      <c r="M358" s="2" t="s">
        <v>995</v>
      </c>
      <c r="N358" s="29"/>
      <c r="O358" s="29"/>
      <c r="Q358" s="2" t="s">
        <v>996</v>
      </c>
      <c r="R358" s="2" t="s">
        <v>997</v>
      </c>
      <c r="S358" s="4">
        <v>2024.0</v>
      </c>
      <c r="T358" s="30"/>
      <c r="U358" s="2" t="s">
        <v>998</v>
      </c>
    </row>
    <row r="359">
      <c r="A359" s="2" t="s">
        <v>1576</v>
      </c>
      <c r="B359" s="2" t="s">
        <v>17</v>
      </c>
      <c r="C359" s="4">
        <v>2024.0</v>
      </c>
      <c r="D359" s="4">
        <v>5.0</v>
      </c>
      <c r="E359" s="29"/>
      <c r="F359" s="4">
        <v>1.0</v>
      </c>
      <c r="G359" s="2" t="s">
        <v>602</v>
      </c>
      <c r="H359" s="5" t="s">
        <v>183</v>
      </c>
      <c r="I359" s="2" t="s">
        <v>83</v>
      </c>
      <c r="J359" s="5">
        <v>500000.0</v>
      </c>
      <c r="K359" s="4" t="s">
        <v>994</v>
      </c>
      <c r="L359" s="3">
        <v>46185.84468155092</v>
      </c>
      <c r="M359" s="2" t="s">
        <v>995</v>
      </c>
      <c r="N359" s="29"/>
      <c r="O359" s="29"/>
      <c r="Q359" s="2" t="s">
        <v>996</v>
      </c>
      <c r="R359" s="2" t="s">
        <v>997</v>
      </c>
      <c r="S359" s="4">
        <v>2024.0</v>
      </c>
      <c r="T359" s="30"/>
      <c r="U359" s="2" t="s">
        <v>998</v>
      </c>
    </row>
    <row r="360">
      <c r="A360" s="2" t="s">
        <v>1577</v>
      </c>
      <c r="B360" s="2" t="s">
        <v>17</v>
      </c>
      <c r="C360" s="4">
        <v>2024.0</v>
      </c>
      <c r="D360" s="4">
        <v>5.0</v>
      </c>
      <c r="E360" s="29"/>
      <c r="F360" s="4">
        <v>1.0</v>
      </c>
      <c r="G360" s="2" t="s">
        <v>602</v>
      </c>
      <c r="H360" s="5" t="s">
        <v>188</v>
      </c>
      <c r="I360" s="2" t="s">
        <v>83</v>
      </c>
      <c r="J360" s="5">
        <v>150000.0</v>
      </c>
      <c r="K360" s="4" t="s">
        <v>994</v>
      </c>
      <c r="L360" s="3">
        <v>46185.84468155092</v>
      </c>
      <c r="M360" s="2" t="s">
        <v>995</v>
      </c>
      <c r="N360" s="29"/>
      <c r="O360" s="29"/>
      <c r="Q360" s="2" t="s">
        <v>996</v>
      </c>
      <c r="R360" s="2" t="s">
        <v>997</v>
      </c>
      <c r="S360" s="4">
        <v>2024.0</v>
      </c>
      <c r="T360" s="30"/>
      <c r="U360" s="2" t="s">
        <v>998</v>
      </c>
    </row>
    <row r="361">
      <c r="A361" s="2" t="s">
        <v>1578</v>
      </c>
      <c r="B361" s="2" t="s">
        <v>17</v>
      </c>
      <c r="C361" s="4">
        <v>2024.0</v>
      </c>
      <c r="D361" s="4">
        <v>5.0</v>
      </c>
      <c r="E361" s="29"/>
      <c r="F361" s="4">
        <v>1.0</v>
      </c>
      <c r="G361" s="2" t="s">
        <v>602</v>
      </c>
      <c r="H361" s="5" t="s">
        <v>239</v>
      </c>
      <c r="I361" s="2" t="s">
        <v>83</v>
      </c>
      <c r="J361" s="5">
        <v>1000000.0</v>
      </c>
      <c r="K361" s="4" t="s">
        <v>994</v>
      </c>
      <c r="L361" s="3">
        <v>46185.84468155092</v>
      </c>
      <c r="M361" s="2" t="s">
        <v>995</v>
      </c>
      <c r="N361" s="29"/>
      <c r="O361" s="29"/>
      <c r="Q361" s="2" t="s">
        <v>996</v>
      </c>
      <c r="R361" s="2" t="s">
        <v>997</v>
      </c>
      <c r="S361" s="4">
        <v>2024.0</v>
      </c>
      <c r="T361" s="30"/>
      <c r="U361" s="2" t="s">
        <v>998</v>
      </c>
    </row>
    <row r="362">
      <c r="A362" s="2" t="s">
        <v>1579</v>
      </c>
      <c r="B362" s="2" t="s">
        <v>17</v>
      </c>
      <c r="C362" s="4">
        <v>2024.0</v>
      </c>
      <c r="D362" s="4">
        <v>5.0</v>
      </c>
      <c r="E362" s="29"/>
      <c r="F362" s="4">
        <v>1.0</v>
      </c>
      <c r="G362" s="2" t="s">
        <v>602</v>
      </c>
      <c r="H362" s="5" t="s">
        <v>938</v>
      </c>
      <c r="I362" s="2" t="s">
        <v>83</v>
      </c>
      <c r="J362" s="5">
        <v>3300000.0</v>
      </c>
      <c r="K362" s="4" t="s">
        <v>994</v>
      </c>
      <c r="L362" s="3">
        <v>46185.84468155092</v>
      </c>
      <c r="M362" s="2" t="s">
        <v>995</v>
      </c>
      <c r="N362" s="29"/>
      <c r="O362" s="29"/>
      <c r="Q362" s="2" t="s">
        <v>996</v>
      </c>
      <c r="R362" s="2" t="s">
        <v>997</v>
      </c>
      <c r="S362" s="4">
        <v>2024.0</v>
      </c>
      <c r="T362" s="30"/>
      <c r="U362" s="2" t="s">
        <v>998</v>
      </c>
    </row>
    <row r="363">
      <c r="A363" s="2" t="s">
        <v>1580</v>
      </c>
      <c r="B363" s="2" t="s">
        <v>17</v>
      </c>
      <c r="C363" s="4">
        <v>2024.0</v>
      </c>
      <c r="D363" s="4">
        <v>5.0</v>
      </c>
      <c r="E363" s="29"/>
      <c r="F363" s="4">
        <v>1.0</v>
      </c>
      <c r="G363" s="2" t="s">
        <v>602</v>
      </c>
      <c r="H363" s="5" t="s">
        <v>243</v>
      </c>
      <c r="I363" s="2" t="s">
        <v>83</v>
      </c>
      <c r="J363" s="5">
        <v>250000.0</v>
      </c>
      <c r="K363" s="4" t="s">
        <v>994</v>
      </c>
      <c r="L363" s="3">
        <v>46185.84468155092</v>
      </c>
      <c r="M363" s="2" t="s">
        <v>995</v>
      </c>
      <c r="N363" s="29"/>
      <c r="O363" s="29"/>
      <c r="Q363" s="2" t="s">
        <v>996</v>
      </c>
      <c r="R363" s="2" t="s">
        <v>997</v>
      </c>
      <c r="S363" s="4">
        <v>2024.0</v>
      </c>
      <c r="T363" s="30"/>
      <c r="U363" s="2" t="s">
        <v>998</v>
      </c>
    </row>
    <row r="364">
      <c r="A364" s="2" t="s">
        <v>1581</v>
      </c>
      <c r="B364" s="2" t="s">
        <v>17</v>
      </c>
      <c r="C364" s="4">
        <v>2024.0</v>
      </c>
      <c r="D364" s="4">
        <v>5.0</v>
      </c>
      <c r="E364" s="29"/>
      <c r="F364" s="4">
        <v>1.0</v>
      </c>
      <c r="G364" s="2" t="s">
        <v>602</v>
      </c>
      <c r="H364" s="5" t="s">
        <v>939</v>
      </c>
      <c r="I364" s="2" t="s">
        <v>83</v>
      </c>
      <c r="J364" s="5">
        <v>2600000.0</v>
      </c>
      <c r="K364" s="4" t="s">
        <v>994</v>
      </c>
      <c r="L364" s="3">
        <v>46185.84468155092</v>
      </c>
      <c r="M364" s="2" t="s">
        <v>995</v>
      </c>
      <c r="N364" s="29"/>
      <c r="O364" s="29"/>
      <c r="Q364" s="2" t="s">
        <v>996</v>
      </c>
      <c r="R364" s="2" t="s">
        <v>997</v>
      </c>
      <c r="S364" s="4">
        <v>2024.0</v>
      </c>
      <c r="T364" s="30"/>
      <c r="U364" s="2" t="s">
        <v>998</v>
      </c>
    </row>
    <row r="365">
      <c r="A365" s="2" t="s">
        <v>1582</v>
      </c>
      <c r="B365" s="2" t="s">
        <v>17</v>
      </c>
      <c r="C365" s="4">
        <v>2024.0</v>
      </c>
      <c r="D365" s="4">
        <v>5.0</v>
      </c>
      <c r="E365" s="29"/>
      <c r="F365" s="4">
        <v>2.0</v>
      </c>
      <c r="G365" s="2" t="s">
        <v>602</v>
      </c>
      <c r="H365" s="5" t="s">
        <v>169</v>
      </c>
      <c r="I365" s="2" t="s">
        <v>89</v>
      </c>
      <c r="J365" s="5">
        <v>1531000.0</v>
      </c>
      <c r="K365" s="4" t="s">
        <v>994</v>
      </c>
      <c r="L365" s="3">
        <v>46185.84468155092</v>
      </c>
      <c r="M365" s="2" t="s">
        <v>995</v>
      </c>
      <c r="N365" s="29"/>
      <c r="O365" s="29"/>
      <c r="Q365" s="2" t="s">
        <v>996</v>
      </c>
      <c r="R365" s="2" t="s">
        <v>997</v>
      </c>
      <c r="S365" s="4">
        <v>2024.0</v>
      </c>
      <c r="T365" s="30"/>
      <c r="U365" s="2" t="s">
        <v>998</v>
      </c>
    </row>
    <row r="366">
      <c r="A366" s="2" t="s">
        <v>1583</v>
      </c>
      <c r="B366" s="2" t="s">
        <v>17</v>
      </c>
      <c r="C366" s="4">
        <v>2024.0</v>
      </c>
      <c r="D366" s="4">
        <v>5.0</v>
      </c>
      <c r="E366" s="29"/>
      <c r="F366" s="4">
        <v>2.0</v>
      </c>
      <c r="G366" s="2" t="s">
        <v>602</v>
      </c>
      <c r="H366" s="5" t="s">
        <v>176</v>
      </c>
      <c r="I366" s="2" t="s">
        <v>89</v>
      </c>
      <c r="J366" s="5">
        <v>2600000.0</v>
      </c>
      <c r="K366" s="4" t="s">
        <v>994</v>
      </c>
      <c r="L366" s="3">
        <v>46185.84468155092</v>
      </c>
      <c r="M366" s="2" t="s">
        <v>995</v>
      </c>
      <c r="N366" s="29"/>
      <c r="O366" s="29"/>
      <c r="Q366" s="2" t="s">
        <v>996</v>
      </c>
      <c r="R366" s="2" t="s">
        <v>997</v>
      </c>
      <c r="S366" s="4">
        <v>2024.0</v>
      </c>
      <c r="T366" s="30"/>
      <c r="U366" s="2" t="s">
        <v>998</v>
      </c>
    </row>
    <row r="367">
      <c r="A367" s="2" t="s">
        <v>1584</v>
      </c>
      <c r="B367" s="2" t="s">
        <v>17</v>
      </c>
      <c r="C367" s="4">
        <v>2024.0</v>
      </c>
      <c r="D367" s="4">
        <v>5.0</v>
      </c>
      <c r="E367" s="29"/>
      <c r="F367" s="4">
        <v>2.0</v>
      </c>
      <c r="G367" s="2" t="s">
        <v>602</v>
      </c>
      <c r="H367" s="5" t="s">
        <v>183</v>
      </c>
      <c r="I367" s="2" t="s">
        <v>89</v>
      </c>
      <c r="J367" s="5">
        <v>400000.0</v>
      </c>
      <c r="K367" s="4" t="s">
        <v>994</v>
      </c>
      <c r="L367" s="3">
        <v>46185.84468155092</v>
      </c>
      <c r="M367" s="2" t="s">
        <v>995</v>
      </c>
      <c r="N367" s="29"/>
      <c r="O367" s="29"/>
      <c r="Q367" s="2" t="s">
        <v>996</v>
      </c>
      <c r="R367" s="2" t="s">
        <v>997</v>
      </c>
      <c r="S367" s="4">
        <v>2024.0</v>
      </c>
      <c r="T367" s="30"/>
      <c r="U367" s="2" t="s">
        <v>998</v>
      </c>
    </row>
    <row r="368">
      <c r="A368" s="2" t="s">
        <v>1585</v>
      </c>
      <c r="B368" s="2" t="s">
        <v>17</v>
      </c>
      <c r="C368" s="4">
        <v>2024.0</v>
      </c>
      <c r="D368" s="4">
        <v>5.0</v>
      </c>
      <c r="E368" s="29"/>
      <c r="F368" s="4">
        <v>2.0</v>
      </c>
      <c r="G368" s="2" t="s">
        <v>602</v>
      </c>
      <c r="H368" s="5" t="s">
        <v>188</v>
      </c>
      <c r="I368" s="2" t="s">
        <v>89</v>
      </c>
      <c r="J368" s="5">
        <v>150000.0</v>
      </c>
      <c r="K368" s="4" t="s">
        <v>994</v>
      </c>
      <c r="L368" s="3">
        <v>46185.84468155092</v>
      </c>
      <c r="M368" s="2" t="s">
        <v>995</v>
      </c>
      <c r="N368" s="29"/>
      <c r="O368" s="29"/>
      <c r="Q368" s="2" t="s">
        <v>996</v>
      </c>
      <c r="R368" s="2" t="s">
        <v>997</v>
      </c>
      <c r="S368" s="4">
        <v>2024.0</v>
      </c>
      <c r="T368" s="30"/>
      <c r="U368" s="2" t="s">
        <v>998</v>
      </c>
    </row>
    <row r="369">
      <c r="A369" s="2" t="s">
        <v>1586</v>
      </c>
      <c r="B369" s="2" t="s">
        <v>17</v>
      </c>
      <c r="C369" s="4">
        <v>2024.0</v>
      </c>
      <c r="D369" s="4">
        <v>5.0</v>
      </c>
      <c r="E369" s="29"/>
      <c r="F369" s="4">
        <v>2.0</v>
      </c>
      <c r="G369" s="2" t="s">
        <v>607</v>
      </c>
      <c r="H369" s="5" t="s">
        <v>607</v>
      </c>
      <c r="I369" s="2" t="s">
        <v>89</v>
      </c>
      <c r="J369" s="5">
        <v>1.504E7</v>
      </c>
      <c r="K369" s="4" t="s">
        <v>994</v>
      </c>
      <c r="L369" s="3">
        <v>46185.84468155092</v>
      </c>
      <c r="M369" s="2" t="s">
        <v>995</v>
      </c>
      <c r="N369" s="29"/>
      <c r="O369" s="29"/>
      <c r="Q369" s="2" t="s">
        <v>996</v>
      </c>
      <c r="R369" s="2" t="s">
        <v>997</v>
      </c>
      <c r="S369" s="4">
        <v>2024.0</v>
      </c>
      <c r="T369" s="30"/>
      <c r="U369" s="2" t="s">
        <v>998</v>
      </c>
    </row>
    <row r="370">
      <c r="A370" s="2" t="s">
        <v>1587</v>
      </c>
      <c r="B370" s="2" t="s">
        <v>17</v>
      </c>
      <c r="C370" s="4">
        <v>2024.0</v>
      </c>
      <c r="D370" s="4">
        <v>5.0</v>
      </c>
      <c r="E370" s="29"/>
      <c r="F370" s="4">
        <v>2.0</v>
      </c>
      <c r="G370" s="2" t="s">
        <v>237</v>
      </c>
      <c r="H370" s="5" t="s">
        <v>237</v>
      </c>
      <c r="I370" s="2" t="s">
        <v>89</v>
      </c>
      <c r="J370" s="5">
        <v>1.24E7</v>
      </c>
      <c r="K370" s="4" t="s">
        <v>994</v>
      </c>
      <c r="L370" s="3">
        <v>46185.84468155092</v>
      </c>
      <c r="M370" s="2" t="s">
        <v>995</v>
      </c>
      <c r="N370" s="29"/>
      <c r="O370" s="29"/>
      <c r="Q370" s="2" t="s">
        <v>996</v>
      </c>
      <c r="R370" s="2" t="s">
        <v>997</v>
      </c>
      <c r="S370" s="4">
        <v>2024.0</v>
      </c>
      <c r="T370" s="30"/>
      <c r="U370" s="2" t="s">
        <v>998</v>
      </c>
    </row>
    <row r="371">
      <c r="A371" s="2" t="s">
        <v>1588</v>
      </c>
      <c r="B371" s="2" t="s">
        <v>17</v>
      </c>
      <c r="C371" s="4">
        <v>2024.0</v>
      </c>
      <c r="D371" s="4">
        <v>5.0</v>
      </c>
      <c r="E371" s="29"/>
      <c r="F371" s="4">
        <v>2.0</v>
      </c>
      <c r="G371" s="2" t="s">
        <v>602</v>
      </c>
      <c r="H371" s="5" t="s">
        <v>239</v>
      </c>
      <c r="I371" s="2" t="s">
        <v>89</v>
      </c>
      <c r="J371" s="5">
        <v>6500000.0</v>
      </c>
      <c r="K371" s="4" t="s">
        <v>994</v>
      </c>
      <c r="L371" s="3">
        <v>46185.84468155092</v>
      </c>
      <c r="M371" s="2" t="s">
        <v>995</v>
      </c>
      <c r="N371" s="29"/>
      <c r="O371" s="29"/>
      <c r="Q371" s="2" t="s">
        <v>996</v>
      </c>
      <c r="R371" s="2" t="s">
        <v>997</v>
      </c>
      <c r="S371" s="4">
        <v>2024.0</v>
      </c>
      <c r="T371" s="30"/>
      <c r="U371" s="2" t="s">
        <v>998</v>
      </c>
    </row>
    <row r="372">
      <c r="A372" s="2" t="s">
        <v>1589</v>
      </c>
      <c r="B372" s="2" t="s">
        <v>17</v>
      </c>
      <c r="C372" s="4">
        <v>2024.0</v>
      </c>
      <c r="D372" s="4">
        <v>5.0</v>
      </c>
      <c r="E372" s="29"/>
      <c r="F372" s="4">
        <v>2.0</v>
      </c>
      <c r="G372" s="2" t="s">
        <v>602</v>
      </c>
      <c r="H372" s="5" t="s">
        <v>936</v>
      </c>
      <c r="I372" s="2" t="s">
        <v>89</v>
      </c>
      <c r="J372" s="5">
        <v>3250000.0</v>
      </c>
      <c r="K372" s="4" t="s">
        <v>994</v>
      </c>
      <c r="L372" s="3">
        <v>46185.84468155092</v>
      </c>
      <c r="M372" s="2" t="s">
        <v>995</v>
      </c>
      <c r="N372" s="29"/>
      <c r="O372" s="29"/>
      <c r="Q372" s="2" t="s">
        <v>996</v>
      </c>
      <c r="R372" s="2" t="s">
        <v>997</v>
      </c>
      <c r="S372" s="4">
        <v>2024.0</v>
      </c>
      <c r="T372" s="30"/>
      <c r="U372" s="2" t="s">
        <v>998</v>
      </c>
    </row>
    <row r="373">
      <c r="A373" s="2" t="s">
        <v>1590</v>
      </c>
      <c r="B373" s="2" t="s">
        <v>17</v>
      </c>
      <c r="C373" s="4">
        <v>2024.0</v>
      </c>
      <c r="D373" s="4">
        <v>5.0</v>
      </c>
      <c r="E373" s="29"/>
      <c r="F373" s="4">
        <v>2.0</v>
      </c>
      <c r="G373" s="2" t="s">
        <v>602</v>
      </c>
      <c r="H373" s="5" t="s">
        <v>935</v>
      </c>
      <c r="I373" s="2" t="s">
        <v>89</v>
      </c>
      <c r="J373" s="5">
        <v>3640000.0</v>
      </c>
      <c r="K373" s="4" t="s">
        <v>994</v>
      </c>
      <c r="L373" s="3">
        <v>46185.84468155092</v>
      </c>
      <c r="M373" s="2" t="s">
        <v>995</v>
      </c>
      <c r="N373" s="29"/>
      <c r="O373" s="29"/>
      <c r="Q373" s="2" t="s">
        <v>996</v>
      </c>
      <c r="R373" s="2" t="s">
        <v>997</v>
      </c>
      <c r="S373" s="4">
        <v>2024.0</v>
      </c>
      <c r="T373" s="30"/>
      <c r="U373" s="2" t="s">
        <v>998</v>
      </c>
    </row>
    <row r="374">
      <c r="A374" s="2" t="s">
        <v>1591</v>
      </c>
      <c r="B374" s="2" t="s">
        <v>17</v>
      </c>
      <c r="C374" s="4">
        <v>2024.0</v>
      </c>
      <c r="D374" s="4">
        <v>6.0</v>
      </c>
      <c r="E374" s="29"/>
      <c r="F374" s="4">
        <v>1.0</v>
      </c>
      <c r="G374" s="2" t="s">
        <v>602</v>
      </c>
      <c r="H374" s="5" t="s">
        <v>169</v>
      </c>
      <c r="I374" s="2" t="s">
        <v>95</v>
      </c>
      <c r="J374" s="5">
        <v>1670000.0</v>
      </c>
      <c r="K374" s="4" t="s">
        <v>994</v>
      </c>
      <c r="L374" s="3">
        <v>46185.84468155092</v>
      </c>
      <c r="M374" s="2" t="s">
        <v>995</v>
      </c>
      <c r="N374" s="29"/>
      <c r="O374" s="29"/>
      <c r="Q374" s="2" t="s">
        <v>996</v>
      </c>
      <c r="R374" s="2" t="s">
        <v>997</v>
      </c>
      <c r="S374" s="4">
        <v>2024.0</v>
      </c>
      <c r="T374" s="30"/>
      <c r="U374" s="2" t="s">
        <v>998</v>
      </c>
    </row>
    <row r="375">
      <c r="A375" s="2" t="s">
        <v>1592</v>
      </c>
      <c r="B375" s="2" t="s">
        <v>17</v>
      </c>
      <c r="C375" s="4">
        <v>2024.0</v>
      </c>
      <c r="D375" s="4">
        <v>6.0</v>
      </c>
      <c r="E375" s="29"/>
      <c r="F375" s="4">
        <v>1.0</v>
      </c>
      <c r="G375" s="2" t="s">
        <v>602</v>
      </c>
      <c r="H375" s="5" t="s">
        <v>176</v>
      </c>
      <c r="I375" s="2" t="s">
        <v>95</v>
      </c>
      <c r="J375" s="5">
        <v>2840000.0</v>
      </c>
      <c r="K375" s="4" t="s">
        <v>994</v>
      </c>
      <c r="L375" s="3">
        <v>46185.84468155092</v>
      </c>
      <c r="M375" s="2" t="s">
        <v>995</v>
      </c>
      <c r="N375" s="29"/>
      <c r="O375" s="29"/>
      <c r="Q375" s="2" t="s">
        <v>996</v>
      </c>
      <c r="R375" s="2" t="s">
        <v>997</v>
      </c>
      <c r="S375" s="4">
        <v>2024.0</v>
      </c>
      <c r="T375" s="30"/>
      <c r="U375" s="2" t="s">
        <v>998</v>
      </c>
    </row>
    <row r="376">
      <c r="A376" s="2" t="s">
        <v>1593</v>
      </c>
      <c r="B376" s="2" t="s">
        <v>17</v>
      </c>
      <c r="C376" s="4">
        <v>2024.0</v>
      </c>
      <c r="D376" s="4">
        <v>6.0</v>
      </c>
      <c r="E376" s="29"/>
      <c r="F376" s="4">
        <v>1.0</v>
      </c>
      <c r="G376" s="2" t="s">
        <v>602</v>
      </c>
      <c r="H376" s="5" t="s">
        <v>183</v>
      </c>
      <c r="I376" s="2" t="s">
        <v>95</v>
      </c>
      <c r="J376" s="5">
        <v>400000.0</v>
      </c>
      <c r="K376" s="4" t="s">
        <v>994</v>
      </c>
      <c r="L376" s="3">
        <v>46185.84468155092</v>
      </c>
      <c r="M376" s="2" t="s">
        <v>995</v>
      </c>
      <c r="N376" s="29"/>
      <c r="O376" s="29"/>
      <c r="Q376" s="2" t="s">
        <v>996</v>
      </c>
      <c r="R376" s="2" t="s">
        <v>997</v>
      </c>
      <c r="S376" s="4">
        <v>2024.0</v>
      </c>
      <c r="T376" s="30"/>
      <c r="U376" s="2" t="s">
        <v>998</v>
      </c>
    </row>
    <row r="377">
      <c r="A377" s="2" t="s">
        <v>1594</v>
      </c>
      <c r="B377" s="2" t="s">
        <v>17</v>
      </c>
      <c r="C377" s="4">
        <v>2024.0</v>
      </c>
      <c r="D377" s="4">
        <v>6.0</v>
      </c>
      <c r="E377" s="29"/>
      <c r="F377" s="4">
        <v>1.0</v>
      </c>
      <c r="G377" s="2" t="s">
        <v>602</v>
      </c>
      <c r="H377" s="5" t="s">
        <v>188</v>
      </c>
      <c r="I377" s="2" t="s">
        <v>95</v>
      </c>
      <c r="J377" s="5">
        <v>150000.0</v>
      </c>
      <c r="K377" s="4" t="s">
        <v>994</v>
      </c>
      <c r="L377" s="3">
        <v>46185.84468155092</v>
      </c>
      <c r="M377" s="2" t="s">
        <v>995</v>
      </c>
      <c r="N377" s="29"/>
      <c r="O377" s="29"/>
      <c r="Q377" s="2" t="s">
        <v>996</v>
      </c>
      <c r="R377" s="2" t="s">
        <v>997</v>
      </c>
      <c r="S377" s="4">
        <v>2024.0</v>
      </c>
      <c r="T377" s="30"/>
      <c r="U377" s="2" t="s">
        <v>998</v>
      </c>
    </row>
    <row r="378">
      <c r="A378" s="2" t="s">
        <v>1595</v>
      </c>
      <c r="B378" s="2" t="s">
        <v>17</v>
      </c>
      <c r="C378" s="4">
        <v>2024.0</v>
      </c>
      <c r="D378" s="4">
        <v>6.0</v>
      </c>
      <c r="E378" s="29"/>
      <c r="F378" s="4">
        <v>1.0</v>
      </c>
      <c r="G378" s="2" t="s">
        <v>602</v>
      </c>
      <c r="H378" s="5" t="s">
        <v>239</v>
      </c>
      <c r="I378" s="2" t="s">
        <v>95</v>
      </c>
      <c r="J378" s="5">
        <v>4850000.0</v>
      </c>
      <c r="K378" s="4" t="s">
        <v>994</v>
      </c>
      <c r="L378" s="3">
        <v>46185.84468155092</v>
      </c>
      <c r="M378" s="2" t="s">
        <v>995</v>
      </c>
      <c r="N378" s="29"/>
      <c r="O378" s="29"/>
      <c r="Q378" s="2" t="s">
        <v>996</v>
      </c>
      <c r="R378" s="2" t="s">
        <v>997</v>
      </c>
      <c r="S378" s="4">
        <v>2024.0</v>
      </c>
      <c r="T378" s="30"/>
      <c r="U378" s="2" t="s">
        <v>998</v>
      </c>
    </row>
    <row r="379">
      <c r="A379" s="2" t="s">
        <v>1596</v>
      </c>
      <c r="B379" s="2" t="s">
        <v>17</v>
      </c>
      <c r="C379" s="4">
        <v>2024.0</v>
      </c>
      <c r="D379" s="4">
        <v>6.0</v>
      </c>
      <c r="E379" s="29"/>
      <c r="F379" s="4">
        <v>1.0</v>
      </c>
      <c r="G379" s="2" t="s">
        <v>602</v>
      </c>
      <c r="H379" s="5" t="s">
        <v>243</v>
      </c>
      <c r="I379" s="2" t="s">
        <v>95</v>
      </c>
      <c r="J379" s="5">
        <v>250000.0</v>
      </c>
      <c r="K379" s="4" t="s">
        <v>994</v>
      </c>
      <c r="L379" s="3">
        <v>46185.84468155092</v>
      </c>
      <c r="M379" s="2" t="s">
        <v>995</v>
      </c>
      <c r="N379" s="29"/>
      <c r="O379" s="29"/>
      <c r="Q379" s="2" t="s">
        <v>996</v>
      </c>
      <c r="R379" s="2" t="s">
        <v>997</v>
      </c>
      <c r="S379" s="4">
        <v>2024.0</v>
      </c>
      <c r="T379" s="30"/>
      <c r="U379" s="2" t="s">
        <v>998</v>
      </c>
    </row>
    <row r="380">
      <c r="A380" s="2" t="s">
        <v>1597</v>
      </c>
      <c r="B380" s="2" t="s">
        <v>17</v>
      </c>
      <c r="C380" s="4">
        <v>2024.0</v>
      </c>
      <c r="D380" s="4">
        <v>6.0</v>
      </c>
      <c r="E380" s="29"/>
      <c r="F380" s="4">
        <v>1.0</v>
      </c>
      <c r="G380" s="2" t="s">
        <v>602</v>
      </c>
      <c r="H380" s="5" t="s">
        <v>935</v>
      </c>
      <c r="I380" s="2" t="s">
        <v>95</v>
      </c>
      <c r="J380" s="5">
        <v>2125000.0</v>
      </c>
      <c r="K380" s="4" t="s">
        <v>994</v>
      </c>
      <c r="L380" s="3">
        <v>46185.84468155092</v>
      </c>
      <c r="M380" s="2" t="s">
        <v>995</v>
      </c>
      <c r="N380" s="29"/>
      <c r="O380" s="29"/>
      <c r="Q380" s="2" t="s">
        <v>996</v>
      </c>
      <c r="R380" s="2" t="s">
        <v>997</v>
      </c>
      <c r="S380" s="4">
        <v>2024.0</v>
      </c>
      <c r="T380" s="30"/>
      <c r="U380" s="2" t="s">
        <v>998</v>
      </c>
    </row>
    <row r="381">
      <c r="A381" s="2" t="s">
        <v>1598</v>
      </c>
      <c r="B381" s="2" t="s">
        <v>17</v>
      </c>
      <c r="C381" s="4">
        <v>2024.0</v>
      </c>
      <c r="D381" s="4">
        <v>6.0</v>
      </c>
      <c r="E381" s="29"/>
      <c r="F381" s="4">
        <v>2.0</v>
      </c>
      <c r="G381" s="2" t="s">
        <v>602</v>
      </c>
      <c r="H381" s="5" t="s">
        <v>169</v>
      </c>
      <c r="I381" s="2" t="s">
        <v>101</v>
      </c>
      <c r="J381" s="5">
        <v>1464000.0</v>
      </c>
      <c r="K381" s="4" t="s">
        <v>994</v>
      </c>
      <c r="L381" s="3">
        <v>46185.84468155092</v>
      </c>
      <c r="M381" s="2" t="s">
        <v>995</v>
      </c>
      <c r="N381" s="29"/>
      <c r="O381" s="29"/>
      <c r="Q381" s="2" t="s">
        <v>996</v>
      </c>
      <c r="R381" s="2" t="s">
        <v>997</v>
      </c>
      <c r="S381" s="4">
        <v>2024.0</v>
      </c>
      <c r="T381" s="30"/>
      <c r="U381" s="2" t="s">
        <v>998</v>
      </c>
    </row>
    <row r="382">
      <c r="A382" s="2" t="s">
        <v>1599</v>
      </c>
      <c r="B382" s="2" t="s">
        <v>17</v>
      </c>
      <c r="C382" s="4">
        <v>2024.0</v>
      </c>
      <c r="D382" s="4">
        <v>6.0</v>
      </c>
      <c r="E382" s="29"/>
      <c r="F382" s="4">
        <v>2.0</v>
      </c>
      <c r="G382" s="2" t="s">
        <v>602</v>
      </c>
      <c r="H382" s="5" t="s">
        <v>176</v>
      </c>
      <c r="I382" s="2" t="s">
        <v>101</v>
      </c>
      <c r="J382" s="5">
        <v>2495000.0</v>
      </c>
      <c r="K382" s="4" t="s">
        <v>994</v>
      </c>
      <c r="L382" s="3">
        <v>46185.84468155092</v>
      </c>
      <c r="M382" s="2" t="s">
        <v>995</v>
      </c>
      <c r="N382" s="29"/>
      <c r="O382" s="29"/>
      <c r="Q382" s="2" t="s">
        <v>996</v>
      </c>
      <c r="R382" s="2" t="s">
        <v>997</v>
      </c>
      <c r="S382" s="4">
        <v>2024.0</v>
      </c>
      <c r="T382" s="30"/>
      <c r="U382" s="2" t="s">
        <v>998</v>
      </c>
    </row>
    <row r="383">
      <c r="A383" s="2" t="s">
        <v>1600</v>
      </c>
      <c r="B383" s="2" t="s">
        <v>17</v>
      </c>
      <c r="C383" s="4">
        <v>2024.0</v>
      </c>
      <c r="D383" s="4">
        <v>6.0</v>
      </c>
      <c r="E383" s="29"/>
      <c r="F383" s="4">
        <v>2.0</v>
      </c>
      <c r="G383" s="2" t="s">
        <v>602</v>
      </c>
      <c r="H383" s="5" t="s">
        <v>183</v>
      </c>
      <c r="I383" s="2" t="s">
        <v>101</v>
      </c>
      <c r="J383" s="5">
        <v>400000.0</v>
      </c>
      <c r="K383" s="4" t="s">
        <v>994</v>
      </c>
      <c r="L383" s="3">
        <v>46185.84468155092</v>
      </c>
      <c r="M383" s="2" t="s">
        <v>995</v>
      </c>
      <c r="N383" s="29"/>
      <c r="O383" s="29"/>
      <c r="Q383" s="2" t="s">
        <v>996</v>
      </c>
      <c r="R383" s="2" t="s">
        <v>997</v>
      </c>
      <c r="S383" s="4">
        <v>2024.0</v>
      </c>
      <c r="T383" s="30"/>
      <c r="U383" s="2" t="s">
        <v>998</v>
      </c>
    </row>
    <row r="384">
      <c r="A384" s="2" t="s">
        <v>1601</v>
      </c>
      <c r="B384" s="2" t="s">
        <v>17</v>
      </c>
      <c r="C384" s="4">
        <v>2024.0</v>
      </c>
      <c r="D384" s="4">
        <v>6.0</v>
      </c>
      <c r="E384" s="29"/>
      <c r="F384" s="4">
        <v>2.0</v>
      </c>
      <c r="G384" s="2" t="s">
        <v>602</v>
      </c>
      <c r="H384" s="5" t="s">
        <v>188</v>
      </c>
      <c r="I384" s="2" t="s">
        <v>101</v>
      </c>
      <c r="J384" s="5">
        <v>150000.0</v>
      </c>
      <c r="K384" s="4" t="s">
        <v>994</v>
      </c>
      <c r="L384" s="3">
        <v>46185.84468155092</v>
      </c>
      <c r="M384" s="2" t="s">
        <v>995</v>
      </c>
      <c r="N384" s="29"/>
      <c r="O384" s="29"/>
      <c r="Q384" s="2" t="s">
        <v>996</v>
      </c>
      <c r="R384" s="2" t="s">
        <v>997</v>
      </c>
      <c r="S384" s="4">
        <v>2024.0</v>
      </c>
      <c r="T384" s="30"/>
      <c r="U384" s="2" t="s">
        <v>998</v>
      </c>
    </row>
    <row r="385">
      <c r="A385" s="2" t="s">
        <v>1602</v>
      </c>
      <c r="B385" s="2" t="s">
        <v>17</v>
      </c>
      <c r="C385" s="4">
        <v>2024.0</v>
      </c>
      <c r="D385" s="4">
        <v>6.0</v>
      </c>
      <c r="E385" s="29"/>
      <c r="F385" s="4">
        <v>2.0</v>
      </c>
      <c r="G385" s="2" t="s">
        <v>602</v>
      </c>
      <c r="H385" s="5" t="s">
        <v>243</v>
      </c>
      <c r="I385" s="2" t="s">
        <v>101</v>
      </c>
      <c r="J385" s="5">
        <v>750000.0</v>
      </c>
      <c r="K385" s="4" t="s">
        <v>994</v>
      </c>
      <c r="L385" s="3">
        <v>46185.84468155092</v>
      </c>
      <c r="M385" s="2" t="s">
        <v>995</v>
      </c>
      <c r="N385" s="29"/>
      <c r="O385" s="29"/>
      <c r="Q385" s="2" t="s">
        <v>996</v>
      </c>
      <c r="R385" s="2" t="s">
        <v>997</v>
      </c>
      <c r="S385" s="4">
        <v>2024.0</v>
      </c>
      <c r="T385" s="30"/>
      <c r="U385" s="2" t="s">
        <v>998</v>
      </c>
    </row>
    <row r="386">
      <c r="A386" s="2" t="s">
        <v>1603</v>
      </c>
      <c r="B386" s="2" t="s">
        <v>17</v>
      </c>
      <c r="C386" s="4">
        <v>2024.0</v>
      </c>
      <c r="D386" s="4">
        <v>6.0</v>
      </c>
      <c r="E386" s="29"/>
      <c r="F386" s="4">
        <v>2.0</v>
      </c>
      <c r="G386" s="2" t="s">
        <v>602</v>
      </c>
      <c r="H386" s="5" t="s">
        <v>239</v>
      </c>
      <c r="I386" s="2" t="s">
        <v>101</v>
      </c>
      <c r="J386" s="5">
        <v>1960000.0</v>
      </c>
      <c r="K386" s="4" t="s">
        <v>994</v>
      </c>
      <c r="L386" s="3">
        <v>46185.84468155092</v>
      </c>
      <c r="M386" s="2" t="s">
        <v>995</v>
      </c>
      <c r="N386" s="29"/>
      <c r="O386" s="29"/>
      <c r="Q386" s="2" t="s">
        <v>996</v>
      </c>
      <c r="R386" s="2" t="s">
        <v>997</v>
      </c>
      <c r="S386" s="4">
        <v>2024.0</v>
      </c>
      <c r="T386" s="30"/>
      <c r="U386" s="2" t="s">
        <v>998</v>
      </c>
    </row>
    <row r="387">
      <c r="A387" s="2" t="s">
        <v>1604</v>
      </c>
      <c r="B387" s="2" t="s">
        <v>17</v>
      </c>
      <c r="C387" s="4">
        <v>2024.0</v>
      </c>
      <c r="D387" s="4">
        <v>6.0</v>
      </c>
      <c r="E387" s="29"/>
      <c r="F387" s="4">
        <v>2.0</v>
      </c>
      <c r="G387" s="2" t="s">
        <v>237</v>
      </c>
      <c r="H387" s="5" t="s">
        <v>237</v>
      </c>
      <c r="I387" s="2" t="s">
        <v>101</v>
      </c>
      <c r="J387" s="5">
        <v>6800000.0</v>
      </c>
      <c r="K387" s="4" t="s">
        <v>994</v>
      </c>
      <c r="L387" s="3">
        <v>46185.84468155092</v>
      </c>
      <c r="M387" s="2" t="s">
        <v>995</v>
      </c>
      <c r="N387" s="29"/>
      <c r="O387" s="29"/>
      <c r="Q387" s="2" t="s">
        <v>996</v>
      </c>
      <c r="R387" s="2" t="s">
        <v>997</v>
      </c>
      <c r="S387" s="4">
        <v>2024.0</v>
      </c>
      <c r="T387" s="30"/>
      <c r="U387" s="2" t="s">
        <v>998</v>
      </c>
    </row>
    <row r="388">
      <c r="A388" s="2" t="s">
        <v>1605</v>
      </c>
      <c r="B388" s="2" t="s">
        <v>17</v>
      </c>
      <c r="C388" s="4">
        <v>2024.0</v>
      </c>
      <c r="D388" s="4">
        <v>6.0</v>
      </c>
      <c r="E388" s="29"/>
      <c r="F388" s="4">
        <v>2.0</v>
      </c>
      <c r="G388" s="2" t="s">
        <v>602</v>
      </c>
      <c r="H388" s="5" t="s">
        <v>935</v>
      </c>
      <c r="I388" s="2" t="s">
        <v>101</v>
      </c>
      <c r="J388" s="5">
        <v>7180000.0</v>
      </c>
      <c r="K388" s="4" t="s">
        <v>994</v>
      </c>
      <c r="L388" s="3">
        <v>46185.84468155092</v>
      </c>
      <c r="M388" s="2" t="s">
        <v>995</v>
      </c>
      <c r="N388" s="29"/>
      <c r="O388" s="29"/>
      <c r="Q388" s="2" t="s">
        <v>996</v>
      </c>
      <c r="R388" s="2" t="s">
        <v>997</v>
      </c>
      <c r="S388" s="4">
        <v>2024.0</v>
      </c>
      <c r="T388" s="30"/>
      <c r="U388" s="2" t="s">
        <v>998</v>
      </c>
    </row>
    <row r="389">
      <c r="A389" s="2" t="s">
        <v>1606</v>
      </c>
      <c r="B389" s="2" t="s">
        <v>17</v>
      </c>
      <c r="C389" s="4">
        <v>2024.0</v>
      </c>
      <c r="D389" s="4">
        <v>6.0</v>
      </c>
      <c r="E389" s="29"/>
      <c r="F389" s="4">
        <v>2.0</v>
      </c>
      <c r="G389" s="2" t="s">
        <v>602</v>
      </c>
      <c r="H389" s="5" t="s">
        <v>938</v>
      </c>
      <c r="I389" s="2" t="s">
        <v>101</v>
      </c>
      <c r="J389" s="5">
        <v>4500000.0</v>
      </c>
      <c r="K389" s="4" t="s">
        <v>994</v>
      </c>
      <c r="L389" s="3">
        <v>46185.84468155092</v>
      </c>
      <c r="M389" s="2" t="s">
        <v>995</v>
      </c>
      <c r="N389" s="29"/>
      <c r="O389" s="29"/>
      <c r="Q389" s="2" t="s">
        <v>996</v>
      </c>
      <c r="R389" s="2" t="s">
        <v>997</v>
      </c>
      <c r="S389" s="4">
        <v>2024.0</v>
      </c>
      <c r="T389" s="30"/>
      <c r="U389" s="2" t="s">
        <v>998</v>
      </c>
    </row>
    <row r="390">
      <c r="A390" s="2" t="s">
        <v>1607</v>
      </c>
      <c r="B390" s="2" t="s">
        <v>17</v>
      </c>
      <c r="C390" s="4">
        <v>2024.0</v>
      </c>
      <c r="D390" s="4">
        <v>6.0</v>
      </c>
      <c r="E390" s="29"/>
      <c r="F390" s="4">
        <v>2.0</v>
      </c>
      <c r="G390" s="2" t="s">
        <v>602</v>
      </c>
      <c r="H390" s="5" t="s">
        <v>936</v>
      </c>
      <c r="I390" s="2" t="s">
        <v>101</v>
      </c>
      <c r="J390" s="5">
        <v>3000000.0</v>
      </c>
      <c r="K390" s="4" t="s">
        <v>994</v>
      </c>
      <c r="L390" s="3">
        <v>46185.84468155092</v>
      </c>
      <c r="M390" s="2" t="s">
        <v>995</v>
      </c>
      <c r="N390" s="29"/>
      <c r="O390" s="29"/>
      <c r="Q390" s="2" t="s">
        <v>996</v>
      </c>
      <c r="R390" s="2" t="s">
        <v>997</v>
      </c>
      <c r="S390" s="4">
        <v>2024.0</v>
      </c>
      <c r="T390" s="30"/>
      <c r="U390" s="2" t="s">
        <v>998</v>
      </c>
    </row>
    <row r="391">
      <c r="A391" s="2" t="s">
        <v>1608</v>
      </c>
      <c r="B391" s="2" t="s">
        <v>17</v>
      </c>
      <c r="C391" s="4">
        <v>2024.0</v>
      </c>
      <c r="D391" s="4">
        <v>7.0</v>
      </c>
      <c r="E391" s="29"/>
      <c r="F391" s="4">
        <v>1.0</v>
      </c>
      <c r="G391" s="2" t="s">
        <v>602</v>
      </c>
      <c r="H391" s="5" t="s">
        <v>169</v>
      </c>
      <c r="I391" s="2" t="s">
        <v>109</v>
      </c>
      <c r="J391" s="5">
        <v>1272000.0</v>
      </c>
      <c r="K391" s="4" t="s">
        <v>994</v>
      </c>
      <c r="L391" s="3">
        <v>46185.84468155092</v>
      </c>
      <c r="M391" s="2" t="s">
        <v>995</v>
      </c>
      <c r="N391" s="29"/>
      <c r="O391" s="29"/>
      <c r="Q391" s="2" t="s">
        <v>996</v>
      </c>
      <c r="R391" s="2" t="s">
        <v>997</v>
      </c>
      <c r="S391" s="4">
        <v>2024.0</v>
      </c>
      <c r="T391" s="30"/>
      <c r="U391" s="2" t="s">
        <v>998</v>
      </c>
    </row>
    <row r="392">
      <c r="A392" s="2" t="s">
        <v>1609</v>
      </c>
      <c r="B392" s="2" t="s">
        <v>17</v>
      </c>
      <c r="C392" s="4">
        <v>2024.0</v>
      </c>
      <c r="D392" s="4">
        <v>7.0</v>
      </c>
      <c r="E392" s="29"/>
      <c r="F392" s="4">
        <v>1.0</v>
      </c>
      <c r="G392" s="2" t="s">
        <v>602</v>
      </c>
      <c r="H392" s="5" t="s">
        <v>176</v>
      </c>
      <c r="I392" s="2" t="s">
        <v>109</v>
      </c>
      <c r="J392" s="5">
        <v>2162000.0</v>
      </c>
      <c r="K392" s="4" t="s">
        <v>994</v>
      </c>
      <c r="L392" s="3">
        <v>46185.84468155092</v>
      </c>
      <c r="M392" s="2" t="s">
        <v>995</v>
      </c>
      <c r="N392" s="29"/>
      <c r="O392" s="29"/>
      <c r="Q392" s="2" t="s">
        <v>996</v>
      </c>
      <c r="R392" s="2" t="s">
        <v>997</v>
      </c>
      <c r="S392" s="4">
        <v>2024.0</v>
      </c>
      <c r="T392" s="30"/>
      <c r="U392" s="2" t="s">
        <v>998</v>
      </c>
    </row>
    <row r="393">
      <c r="A393" s="2" t="s">
        <v>1610</v>
      </c>
      <c r="B393" s="2" t="s">
        <v>17</v>
      </c>
      <c r="C393" s="4">
        <v>2024.0</v>
      </c>
      <c r="D393" s="4">
        <v>7.0</v>
      </c>
      <c r="E393" s="29"/>
      <c r="F393" s="4">
        <v>1.0</v>
      </c>
      <c r="G393" s="2" t="s">
        <v>602</v>
      </c>
      <c r="H393" s="5" t="s">
        <v>183</v>
      </c>
      <c r="I393" s="2" t="s">
        <v>109</v>
      </c>
      <c r="J393" s="5">
        <v>300000.0</v>
      </c>
      <c r="K393" s="4" t="s">
        <v>994</v>
      </c>
      <c r="L393" s="3">
        <v>46185.84468155092</v>
      </c>
      <c r="M393" s="2" t="s">
        <v>995</v>
      </c>
      <c r="N393" s="29"/>
      <c r="O393" s="29"/>
      <c r="Q393" s="2" t="s">
        <v>996</v>
      </c>
      <c r="R393" s="2" t="s">
        <v>997</v>
      </c>
      <c r="S393" s="4">
        <v>2024.0</v>
      </c>
      <c r="T393" s="30"/>
      <c r="U393" s="2" t="s">
        <v>998</v>
      </c>
    </row>
    <row r="394">
      <c r="A394" s="2" t="s">
        <v>1611</v>
      </c>
      <c r="B394" s="2" t="s">
        <v>17</v>
      </c>
      <c r="C394" s="4">
        <v>2024.0</v>
      </c>
      <c r="D394" s="4">
        <v>7.0</v>
      </c>
      <c r="E394" s="29"/>
      <c r="F394" s="4">
        <v>1.0</v>
      </c>
      <c r="G394" s="2" t="s">
        <v>602</v>
      </c>
      <c r="H394" s="5" t="s">
        <v>188</v>
      </c>
      <c r="I394" s="2" t="s">
        <v>109</v>
      </c>
      <c r="J394" s="5">
        <v>150000.0</v>
      </c>
      <c r="K394" s="4" t="s">
        <v>994</v>
      </c>
      <c r="L394" s="3">
        <v>46185.84468155092</v>
      </c>
      <c r="M394" s="2" t="s">
        <v>995</v>
      </c>
      <c r="N394" s="29"/>
      <c r="O394" s="29"/>
      <c r="Q394" s="2" t="s">
        <v>996</v>
      </c>
      <c r="R394" s="2" t="s">
        <v>997</v>
      </c>
      <c r="S394" s="4">
        <v>2024.0</v>
      </c>
      <c r="T394" s="30"/>
      <c r="U394" s="2" t="s">
        <v>998</v>
      </c>
    </row>
    <row r="395">
      <c r="A395" s="2" t="s">
        <v>1612</v>
      </c>
      <c r="B395" s="2" t="s">
        <v>17</v>
      </c>
      <c r="C395" s="4">
        <v>2024.0</v>
      </c>
      <c r="D395" s="4">
        <v>7.0</v>
      </c>
      <c r="E395" s="29"/>
      <c r="F395" s="4">
        <v>1.0</v>
      </c>
      <c r="G395" s="2" t="s">
        <v>602</v>
      </c>
      <c r="H395" s="5" t="s">
        <v>243</v>
      </c>
      <c r="I395" s="2" t="s">
        <v>109</v>
      </c>
      <c r="J395" s="5">
        <v>750000.0</v>
      </c>
      <c r="K395" s="4" t="s">
        <v>994</v>
      </c>
      <c r="L395" s="3">
        <v>46185.84468155092</v>
      </c>
      <c r="M395" s="2" t="s">
        <v>995</v>
      </c>
      <c r="N395" s="29"/>
      <c r="O395" s="29"/>
      <c r="Q395" s="2" t="s">
        <v>996</v>
      </c>
      <c r="R395" s="2" t="s">
        <v>997</v>
      </c>
      <c r="S395" s="4">
        <v>2024.0</v>
      </c>
      <c r="T395" s="30"/>
      <c r="U395" s="2" t="s">
        <v>998</v>
      </c>
    </row>
    <row r="396">
      <c r="A396" s="2" t="s">
        <v>1613</v>
      </c>
      <c r="B396" s="2" t="s">
        <v>17</v>
      </c>
      <c r="C396" s="4">
        <v>2024.0</v>
      </c>
      <c r="D396" s="4">
        <v>7.0</v>
      </c>
      <c r="E396" s="29"/>
      <c r="F396" s="4">
        <v>1.0</v>
      </c>
      <c r="G396" s="2" t="s">
        <v>602</v>
      </c>
      <c r="H396" s="5" t="s">
        <v>239</v>
      </c>
      <c r="I396" s="2" t="s">
        <v>109</v>
      </c>
      <c r="J396" s="5">
        <v>3860000.0</v>
      </c>
      <c r="K396" s="4" t="s">
        <v>994</v>
      </c>
      <c r="L396" s="3">
        <v>46185.84468155092</v>
      </c>
      <c r="M396" s="2" t="s">
        <v>995</v>
      </c>
      <c r="N396" s="29"/>
      <c r="O396" s="29"/>
      <c r="Q396" s="2" t="s">
        <v>996</v>
      </c>
      <c r="R396" s="2" t="s">
        <v>997</v>
      </c>
      <c r="S396" s="4">
        <v>2024.0</v>
      </c>
      <c r="T396" s="30"/>
      <c r="U396" s="2" t="s">
        <v>998</v>
      </c>
    </row>
    <row r="397">
      <c r="A397" s="2" t="s">
        <v>1614</v>
      </c>
      <c r="B397" s="2" t="s">
        <v>17</v>
      </c>
      <c r="C397" s="4">
        <v>2024.0</v>
      </c>
      <c r="D397" s="4">
        <v>7.0</v>
      </c>
      <c r="E397" s="29"/>
      <c r="F397" s="4">
        <v>1.0</v>
      </c>
      <c r="G397" s="2" t="s">
        <v>607</v>
      </c>
      <c r="H397" s="5" t="s">
        <v>607</v>
      </c>
      <c r="I397" s="2" t="s">
        <v>109</v>
      </c>
      <c r="J397" s="5">
        <v>8250000.0</v>
      </c>
      <c r="K397" s="4" t="s">
        <v>994</v>
      </c>
      <c r="L397" s="3">
        <v>46185.84468155092</v>
      </c>
      <c r="M397" s="2" t="s">
        <v>995</v>
      </c>
      <c r="N397" s="29"/>
      <c r="O397" s="29"/>
      <c r="Q397" s="2" t="s">
        <v>996</v>
      </c>
      <c r="R397" s="2" t="s">
        <v>997</v>
      </c>
      <c r="S397" s="4">
        <v>2024.0</v>
      </c>
      <c r="T397" s="30"/>
      <c r="U397" s="2" t="s">
        <v>998</v>
      </c>
    </row>
    <row r="398">
      <c r="A398" s="2" t="s">
        <v>1615</v>
      </c>
      <c r="B398" s="2" t="s">
        <v>17</v>
      </c>
      <c r="C398" s="4">
        <v>2024.0</v>
      </c>
      <c r="D398" s="4">
        <v>7.0</v>
      </c>
      <c r="E398" s="29"/>
      <c r="F398" s="4">
        <v>1.0</v>
      </c>
      <c r="G398" s="2" t="s">
        <v>602</v>
      </c>
      <c r="H398" s="5" t="s">
        <v>935</v>
      </c>
      <c r="I398" s="2" t="s">
        <v>109</v>
      </c>
      <c r="J398" s="5">
        <v>3790000.0</v>
      </c>
      <c r="K398" s="4" t="s">
        <v>994</v>
      </c>
      <c r="L398" s="3">
        <v>46185.84468155092</v>
      </c>
      <c r="M398" s="2" t="s">
        <v>995</v>
      </c>
      <c r="N398" s="29"/>
      <c r="O398" s="29"/>
      <c r="Q398" s="2" t="s">
        <v>996</v>
      </c>
      <c r="R398" s="2" t="s">
        <v>997</v>
      </c>
      <c r="S398" s="4">
        <v>2024.0</v>
      </c>
      <c r="T398" s="30"/>
      <c r="U398" s="2" t="s">
        <v>998</v>
      </c>
    </row>
    <row r="399">
      <c r="A399" s="2" t="s">
        <v>1616</v>
      </c>
      <c r="B399" s="2" t="s">
        <v>17</v>
      </c>
      <c r="C399" s="4">
        <v>2024.0</v>
      </c>
      <c r="D399" s="4">
        <v>7.0</v>
      </c>
      <c r="E399" s="29"/>
      <c r="F399" s="4">
        <v>2.0</v>
      </c>
      <c r="G399" s="2" t="s">
        <v>602</v>
      </c>
      <c r="H399" s="5" t="s">
        <v>169</v>
      </c>
      <c r="I399" s="2" t="s">
        <v>922</v>
      </c>
      <c r="J399" s="5">
        <v>1548000.0</v>
      </c>
      <c r="K399" s="4" t="s">
        <v>994</v>
      </c>
      <c r="L399" s="3">
        <v>46185.84468155092</v>
      </c>
      <c r="M399" s="2" t="s">
        <v>995</v>
      </c>
      <c r="N399" s="29"/>
      <c r="O399" s="29"/>
      <c r="Q399" s="2" t="s">
        <v>996</v>
      </c>
      <c r="R399" s="2" t="s">
        <v>997</v>
      </c>
      <c r="S399" s="4">
        <v>2024.0</v>
      </c>
      <c r="T399" s="30"/>
      <c r="U399" s="2" t="s">
        <v>998</v>
      </c>
    </row>
    <row r="400">
      <c r="A400" s="2" t="s">
        <v>1617</v>
      </c>
      <c r="B400" s="2" t="s">
        <v>17</v>
      </c>
      <c r="C400" s="4">
        <v>2024.0</v>
      </c>
      <c r="D400" s="4">
        <v>7.0</v>
      </c>
      <c r="E400" s="29"/>
      <c r="F400" s="4">
        <v>2.0</v>
      </c>
      <c r="G400" s="2" t="s">
        <v>602</v>
      </c>
      <c r="H400" s="5" t="s">
        <v>176</v>
      </c>
      <c r="I400" s="2" t="s">
        <v>922</v>
      </c>
      <c r="J400" s="5">
        <v>2380000.0</v>
      </c>
      <c r="K400" s="4" t="s">
        <v>994</v>
      </c>
      <c r="L400" s="3">
        <v>46185.84468155092</v>
      </c>
      <c r="M400" s="2" t="s">
        <v>995</v>
      </c>
      <c r="N400" s="29"/>
      <c r="O400" s="29"/>
      <c r="Q400" s="2" t="s">
        <v>996</v>
      </c>
      <c r="R400" s="2" t="s">
        <v>997</v>
      </c>
      <c r="S400" s="4">
        <v>2024.0</v>
      </c>
      <c r="T400" s="30"/>
      <c r="U400" s="2" t="s">
        <v>998</v>
      </c>
    </row>
    <row r="401">
      <c r="A401" s="2" t="s">
        <v>1618</v>
      </c>
      <c r="B401" s="2" t="s">
        <v>17</v>
      </c>
      <c r="C401" s="4">
        <v>2024.0</v>
      </c>
      <c r="D401" s="4">
        <v>7.0</v>
      </c>
      <c r="E401" s="29"/>
      <c r="F401" s="4">
        <v>2.0</v>
      </c>
      <c r="G401" s="2" t="s">
        <v>602</v>
      </c>
      <c r="H401" s="5" t="s">
        <v>183</v>
      </c>
      <c r="I401" s="2" t="s">
        <v>922</v>
      </c>
      <c r="J401" s="5">
        <v>300000.0</v>
      </c>
      <c r="K401" s="4" t="s">
        <v>994</v>
      </c>
      <c r="L401" s="3">
        <v>46185.84468155092</v>
      </c>
      <c r="M401" s="2" t="s">
        <v>995</v>
      </c>
      <c r="N401" s="29"/>
      <c r="O401" s="29"/>
      <c r="Q401" s="2" t="s">
        <v>996</v>
      </c>
      <c r="R401" s="2" t="s">
        <v>997</v>
      </c>
      <c r="S401" s="4">
        <v>2024.0</v>
      </c>
      <c r="T401" s="30"/>
      <c r="U401" s="2" t="s">
        <v>998</v>
      </c>
    </row>
    <row r="402">
      <c r="A402" s="2" t="s">
        <v>1619</v>
      </c>
      <c r="B402" s="2" t="s">
        <v>17</v>
      </c>
      <c r="C402" s="4">
        <v>2024.0</v>
      </c>
      <c r="D402" s="4">
        <v>7.0</v>
      </c>
      <c r="E402" s="29"/>
      <c r="F402" s="4">
        <v>2.0</v>
      </c>
      <c r="G402" s="2" t="s">
        <v>602</v>
      </c>
      <c r="H402" s="5" t="s">
        <v>188</v>
      </c>
      <c r="I402" s="2" t="s">
        <v>922</v>
      </c>
      <c r="J402" s="5">
        <v>100000.0</v>
      </c>
      <c r="K402" s="4" t="s">
        <v>994</v>
      </c>
      <c r="L402" s="3">
        <v>46185.84468155092</v>
      </c>
      <c r="M402" s="2" t="s">
        <v>995</v>
      </c>
      <c r="N402" s="29"/>
      <c r="O402" s="29"/>
      <c r="Q402" s="2" t="s">
        <v>996</v>
      </c>
      <c r="R402" s="2" t="s">
        <v>997</v>
      </c>
      <c r="S402" s="4">
        <v>2024.0</v>
      </c>
      <c r="T402" s="30"/>
      <c r="U402" s="2" t="s">
        <v>998</v>
      </c>
    </row>
    <row r="403">
      <c r="A403" s="2" t="s">
        <v>1620</v>
      </c>
      <c r="B403" s="2" t="s">
        <v>17</v>
      </c>
      <c r="C403" s="4">
        <v>2024.0</v>
      </c>
      <c r="D403" s="4">
        <v>7.0</v>
      </c>
      <c r="E403" s="29"/>
      <c r="F403" s="4">
        <v>2.0</v>
      </c>
      <c r="G403" s="2" t="s">
        <v>602</v>
      </c>
      <c r="H403" s="5" t="s">
        <v>243</v>
      </c>
      <c r="I403" s="2" t="s">
        <v>922</v>
      </c>
      <c r="J403" s="5">
        <v>500000.0</v>
      </c>
      <c r="K403" s="4" t="s">
        <v>994</v>
      </c>
      <c r="L403" s="3">
        <v>46185.84468155092</v>
      </c>
      <c r="M403" s="2" t="s">
        <v>995</v>
      </c>
      <c r="N403" s="29"/>
      <c r="O403" s="29"/>
      <c r="Q403" s="2" t="s">
        <v>996</v>
      </c>
      <c r="R403" s="2" t="s">
        <v>997</v>
      </c>
      <c r="S403" s="4">
        <v>2024.0</v>
      </c>
      <c r="T403" s="30"/>
      <c r="U403" s="2" t="s">
        <v>998</v>
      </c>
    </row>
    <row r="404">
      <c r="A404" s="2" t="s">
        <v>1621</v>
      </c>
      <c r="B404" s="2" t="s">
        <v>17</v>
      </c>
      <c r="C404" s="4">
        <v>2024.0</v>
      </c>
      <c r="D404" s="4">
        <v>7.0</v>
      </c>
      <c r="E404" s="29"/>
      <c r="F404" s="4">
        <v>2.0</v>
      </c>
      <c r="G404" s="2" t="s">
        <v>237</v>
      </c>
      <c r="H404" s="5" t="s">
        <v>237</v>
      </c>
      <c r="I404" s="2" t="s">
        <v>922</v>
      </c>
      <c r="J404" s="5">
        <v>1.4E7</v>
      </c>
      <c r="K404" s="4" t="s">
        <v>994</v>
      </c>
      <c r="L404" s="3">
        <v>46185.84468155092</v>
      </c>
      <c r="M404" s="2" t="s">
        <v>995</v>
      </c>
      <c r="N404" s="29"/>
      <c r="O404" s="29"/>
      <c r="Q404" s="2" t="s">
        <v>996</v>
      </c>
      <c r="R404" s="2" t="s">
        <v>997</v>
      </c>
      <c r="S404" s="4">
        <v>2024.0</v>
      </c>
      <c r="T404" s="30"/>
      <c r="U404" s="2" t="s">
        <v>998</v>
      </c>
    </row>
    <row r="405">
      <c r="A405" s="2" t="s">
        <v>1622</v>
      </c>
      <c r="B405" s="2" t="s">
        <v>17</v>
      </c>
      <c r="C405" s="4">
        <v>2024.0</v>
      </c>
      <c r="D405" s="4">
        <v>7.0</v>
      </c>
      <c r="E405" s="29"/>
      <c r="F405" s="4">
        <v>2.0</v>
      </c>
      <c r="G405" s="2" t="s">
        <v>602</v>
      </c>
      <c r="H405" s="5" t="s">
        <v>239</v>
      </c>
      <c r="I405" s="2" t="s">
        <v>922</v>
      </c>
      <c r="J405" s="5">
        <v>1.1E7</v>
      </c>
      <c r="K405" s="4" t="s">
        <v>994</v>
      </c>
      <c r="L405" s="3">
        <v>46185.84468155092</v>
      </c>
      <c r="M405" s="2" t="s">
        <v>995</v>
      </c>
      <c r="N405" s="29"/>
      <c r="O405" s="29"/>
      <c r="Q405" s="2" t="s">
        <v>996</v>
      </c>
      <c r="R405" s="2" t="s">
        <v>997</v>
      </c>
      <c r="S405" s="4">
        <v>2024.0</v>
      </c>
      <c r="T405" s="30"/>
      <c r="U405" s="2" t="s">
        <v>998</v>
      </c>
    </row>
    <row r="406">
      <c r="A406" s="2" t="s">
        <v>1623</v>
      </c>
      <c r="B406" s="2" t="s">
        <v>17</v>
      </c>
      <c r="C406" s="4">
        <v>2024.0</v>
      </c>
      <c r="D406" s="4">
        <v>7.0</v>
      </c>
      <c r="E406" s="29"/>
      <c r="F406" s="4">
        <v>2.0</v>
      </c>
      <c r="G406" s="2" t="s">
        <v>602</v>
      </c>
      <c r="H406" s="5" t="s">
        <v>935</v>
      </c>
      <c r="I406" s="2" t="s">
        <v>922</v>
      </c>
      <c r="J406" s="5">
        <v>2780000.0</v>
      </c>
      <c r="K406" s="4" t="s">
        <v>994</v>
      </c>
      <c r="L406" s="3">
        <v>46185.84468155092</v>
      </c>
      <c r="M406" s="2" t="s">
        <v>995</v>
      </c>
      <c r="N406" s="29"/>
      <c r="O406" s="29"/>
      <c r="Q406" s="2" t="s">
        <v>996</v>
      </c>
      <c r="R406" s="2" t="s">
        <v>997</v>
      </c>
      <c r="S406" s="4">
        <v>2024.0</v>
      </c>
      <c r="T406" s="30"/>
      <c r="U406" s="2" t="s">
        <v>998</v>
      </c>
    </row>
    <row r="407">
      <c r="A407" s="2" t="s">
        <v>1624</v>
      </c>
      <c r="B407" s="2" t="s">
        <v>17</v>
      </c>
      <c r="C407" s="4">
        <v>2024.0</v>
      </c>
      <c r="D407" s="4">
        <v>7.0</v>
      </c>
      <c r="E407" s="29"/>
      <c r="F407" s="4">
        <v>2.0</v>
      </c>
      <c r="G407" s="2" t="s">
        <v>602</v>
      </c>
      <c r="H407" s="5" t="s">
        <v>936</v>
      </c>
      <c r="I407" s="2" t="s">
        <v>922</v>
      </c>
      <c r="J407" s="5">
        <v>3000000.0</v>
      </c>
      <c r="K407" s="4" t="s">
        <v>994</v>
      </c>
      <c r="L407" s="3">
        <v>46185.84468155092</v>
      </c>
      <c r="M407" s="2" t="s">
        <v>995</v>
      </c>
      <c r="N407" s="29"/>
      <c r="O407" s="29"/>
      <c r="Q407" s="2" t="s">
        <v>996</v>
      </c>
      <c r="R407" s="2" t="s">
        <v>997</v>
      </c>
      <c r="S407" s="4">
        <v>2024.0</v>
      </c>
      <c r="T407" s="30"/>
      <c r="U407" s="2" t="s">
        <v>998</v>
      </c>
    </row>
    <row r="408">
      <c r="A408" s="2" t="s">
        <v>1625</v>
      </c>
      <c r="B408" s="2" t="s">
        <v>17</v>
      </c>
      <c r="C408" s="4">
        <v>2024.0</v>
      </c>
      <c r="D408" s="4">
        <v>8.0</v>
      </c>
      <c r="E408" s="29"/>
      <c r="F408" s="4">
        <v>1.0</v>
      </c>
      <c r="G408" s="2" t="s">
        <v>602</v>
      </c>
      <c r="H408" s="5" t="s">
        <v>169</v>
      </c>
      <c r="I408" s="2" t="s">
        <v>923</v>
      </c>
      <c r="J408" s="5">
        <v>1076000.0</v>
      </c>
      <c r="K408" s="4" t="s">
        <v>994</v>
      </c>
      <c r="L408" s="3">
        <v>46185.84468155092</v>
      </c>
      <c r="M408" s="2" t="s">
        <v>995</v>
      </c>
      <c r="N408" s="29"/>
      <c r="O408" s="29"/>
      <c r="Q408" s="2" t="s">
        <v>996</v>
      </c>
      <c r="R408" s="2" t="s">
        <v>997</v>
      </c>
      <c r="S408" s="4">
        <v>2024.0</v>
      </c>
      <c r="T408" s="30"/>
      <c r="U408" s="2" t="s">
        <v>998</v>
      </c>
    </row>
    <row r="409">
      <c r="A409" s="2" t="s">
        <v>1626</v>
      </c>
      <c r="B409" s="2" t="s">
        <v>17</v>
      </c>
      <c r="C409" s="4">
        <v>2024.0</v>
      </c>
      <c r="D409" s="4">
        <v>8.0</v>
      </c>
      <c r="E409" s="29"/>
      <c r="F409" s="4">
        <v>1.0</v>
      </c>
      <c r="G409" s="2" t="s">
        <v>602</v>
      </c>
      <c r="H409" s="5" t="s">
        <v>176</v>
      </c>
      <c r="I409" s="2" t="s">
        <v>923</v>
      </c>
      <c r="J409" s="5">
        <v>1829000.0</v>
      </c>
      <c r="K409" s="4" t="s">
        <v>994</v>
      </c>
      <c r="L409" s="3">
        <v>46185.84468155092</v>
      </c>
      <c r="M409" s="2" t="s">
        <v>995</v>
      </c>
      <c r="N409" s="29"/>
      <c r="O409" s="29"/>
      <c r="Q409" s="2" t="s">
        <v>996</v>
      </c>
      <c r="R409" s="2" t="s">
        <v>997</v>
      </c>
      <c r="S409" s="4">
        <v>2024.0</v>
      </c>
      <c r="T409" s="30"/>
      <c r="U409" s="2" t="s">
        <v>998</v>
      </c>
    </row>
    <row r="410">
      <c r="A410" s="2" t="s">
        <v>1627</v>
      </c>
      <c r="B410" s="2" t="s">
        <v>17</v>
      </c>
      <c r="C410" s="4">
        <v>2024.0</v>
      </c>
      <c r="D410" s="4">
        <v>8.0</v>
      </c>
      <c r="E410" s="29"/>
      <c r="F410" s="4">
        <v>1.0</v>
      </c>
      <c r="G410" s="2" t="s">
        <v>602</v>
      </c>
      <c r="H410" s="5" t="s">
        <v>183</v>
      </c>
      <c r="I410" s="2" t="s">
        <v>923</v>
      </c>
      <c r="J410" s="5">
        <v>300000.0</v>
      </c>
      <c r="K410" s="4" t="s">
        <v>994</v>
      </c>
      <c r="L410" s="3">
        <v>46185.84468155092</v>
      </c>
      <c r="M410" s="2" t="s">
        <v>995</v>
      </c>
      <c r="N410" s="29"/>
      <c r="O410" s="29"/>
      <c r="Q410" s="2" t="s">
        <v>996</v>
      </c>
      <c r="R410" s="2" t="s">
        <v>997</v>
      </c>
      <c r="S410" s="4">
        <v>2024.0</v>
      </c>
      <c r="T410" s="30"/>
      <c r="U410" s="2" t="s">
        <v>998</v>
      </c>
    </row>
    <row r="411">
      <c r="A411" s="2" t="s">
        <v>1628</v>
      </c>
      <c r="B411" s="2" t="s">
        <v>17</v>
      </c>
      <c r="C411" s="4">
        <v>2024.0</v>
      </c>
      <c r="D411" s="4">
        <v>8.0</v>
      </c>
      <c r="E411" s="29"/>
      <c r="F411" s="4">
        <v>1.0</v>
      </c>
      <c r="G411" s="2" t="s">
        <v>602</v>
      </c>
      <c r="H411" s="5" t="s">
        <v>188</v>
      </c>
      <c r="I411" s="2" t="s">
        <v>923</v>
      </c>
      <c r="J411" s="5">
        <v>100000.0</v>
      </c>
      <c r="K411" s="4" t="s">
        <v>994</v>
      </c>
      <c r="L411" s="3">
        <v>46185.84468155092</v>
      </c>
      <c r="M411" s="2" t="s">
        <v>995</v>
      </c>
      <c r="N411" s="29"/>
      <c r="O411" s="29"/>
      <c r="Q411" s="2" t="s">
        <v>996</v>
      </c>
      <c r="R411" s="2" t="s">
        <v>997</v>
      </c>
      <c r="S411" s="4">
        <v>2024.0</v>
      </c>
      <c r="T411" s="30"/>
      <c r="U411" s="2" t="s">
        <v>998</v>
      </c>
    </row>
    <row r="412">
      <c r="A412" s="2" t="s">
        <v>1629</v>
      </c>
      <c r="B412" s="2" t="s">
        <v>17</v>
      </c>
      <c r="C412" s="4">
        <v>2024.0</v>
      </c>
      <c r="D412" s="4">
        <v>8.0</v>
      </c>
      <c r="E412" s="29"/>
      <c r="F412" s="4">
        <v>1.0</v>
      </c>
      <c r="G412" s="2" t="s">
        <v>602</v>
      </c>
      <c r="H412" s="5" t="s">
        <v>239</v>
      </c>
      <c r="I412" s="2" t="s">
        <v>923</v>
      </c>
      <c r="J412" s="5">
        <v>2800000.0</v>
      </c>
      <c r="K412" s="4" t="s">
        <v>994</v>
      </c>
      <c r="L412" s="3">
        <v>46185.84468155092</v>
      </c>
      <c r="M412" s="2" t="s">
        <v>995</v>
      </c>
      <c r="N412" s="29"/>
      <c r="O412" s="29"/>
      <c r="Q412" s="2" t="s">
        <v>996</v>
      </c>
      <c r="R412" s="2" t="s">
        <v>997</v>
      </c>
      <c r="S412" s="4">
        <v>2024.0</v>
      </c>
      <c r="T412" s="30"/>
      <c r="U412" s="2" t="s">
        <v>998</v>
      </c>
    </row>
    <row r="413">
      <c r="A413" s="2" t="s">
        <v>1630</v>
      </c>
      <c r="B413" s="2" t="s">
        <v>17</v>
      </c>
      <c r="C413" s="4">
        <v>2024.0</v>
      </c>
      <c r="D413" s="4">
        <v>8.0</v>
      </c>
      <c r="E413" s="29"/>
      <c r="F413" s="4">
        <v>1.0</v>
      </c>
      <c r="G413" s="2" t="s">
        <v>237</v>
      </c>
      <c r="H413" s="5" t="s">
        <v>237</v>
      </c>
      <c r="I413" s="2" t="s">
        <v>923</v>
      </c>
      <c r="J413" s="5">
        <v>7400000.0</v>
      </c>
      <c r="K413" s="4" t="s">
        <v>994</v>
      </c>
      <c r="L413" s="3">
        <v>46185.84468155092</v>
      </c>
      <c r="M413" s="2" t="s">
        <v>995</v>
      </c>
      <c r="N413" s="29"/>
      <c r="O413" s="29"/>
      <c r="Q413" s="2" t="s">
        <v>996</v>
      </c>
      <c r="R413" s="2" t="s">
        <v>997</v>
      </c>
      <c r="S413" s="4">
        <v>2024.0</v>
      </c>
      <c r="T413" s="30"/>
      <c r="U413" s="2" t="s">
        <v>998</v>
      </c>
    </row>
    <row r="414">
      <c r="A414" s="2" t="s">
        <v>1631</v>
      </c>
      <c r="B414" s="2" t="s">
        <v>17</v>
      </c>
      <c r="C414" s="4">
        <v>2024.0</v>
      </c>
      <c r="D414" s="4">
        <v>8.0</v>
      </c>
      <c r="E414" s="29"/>
      <c r="F414" s="4">
        <v>1.0</v>
      </c>
      <c r="G414" s="2" t="s">
        <v>602</v>
      </c>
      <c r="H414" s="5" t="s">
        <v>936</v>
      </c>
      <c r="I414" s="2" t="s">
        <v>923</v>
      </c>
      <c r="J414" s="5">
        <v>3000000.0</v>
      </c>
      <c r="K414" s="4" t="s">
        <v>994</v>
      </c>
      <c r="L414" s="3">
        <v>46185.84468155092</v>
      </c>
      <c r="M414" s="2" t="s">
        <v>995</v>
      </c>
      <c r="N414" s="29"/>
      <c r="O414" s="29"/>
      <c r="Q414" s="2" t="s">
        <v>996</v>
      </c>
      <c r="R414" s="2" t="s">
        <v>997</v>
      </c>
      <c r="S414" s="4">
        <v>2024.0</v>
      </c>
      <c r="T414" s="30"/>
      <c r="U414" s="2" t="s">
        <v>998</v>
      </c>
    </row>
    <row r="415">
      <c r="A415" s="2" t="s">
        <v>1632</v>
      </c>
      <c r="B415" s="2" t="s">
        <v>17</v>
      </c>
      <c r="C415" s="4">
        <v>2024.0</v>
      </c>
      <c r="D415" s="4">
        <v>8.0</v>
      </c>
      <c r="E415" s="29"/>
      <c r="F415" s="4">
        <v>1.0</v>
      </c>
      <c r="G415" s="2" t="s">
        <v>602</v>
      </c>
      <c r="H415" s="5" t="s">
        <v>935</v>
      </c>
      <c r="I415" s="2" t="s">
        <v>923</v>
      </c>
      <c r="J415" s="5">
        <v>2273000.0</v>
      </c>
      <c r="K415" s="4" t="s">
        <v>994</v>
      </c>
      <c r="L415" s="3">
        <v>46185.84468155092</v>
      </c>
      <c r="M415" s="2" t="s">
        <v>995</v>
      </c>
      <c r="N415" s="29"/>
      <c r="O415" s="29"/>
      <c r="Q415" s="2" t="s">
        <v>996</v>
      </c>
      <c r="R415" s="2" t="s">
        <v>997</v>
      </c>
      <c r="S415" s="4">
        <v>2024.0</v>
      </c>
      <c r="T415" s="30"/>
      <c r="U415" s="2" t="s">
        <v>998</v>
      </c>
    </row>
    <row r="416">
      <c r="A416" s="2" t="s">
        <v>1633</v>
      </c>
      <c r="B416" s="2" t="s">
        <v>17</v>
      </c>
      <c r="C416" s="4">
        <v>2024.0</v>
      </c>
      <c r="D416" s="4">
        <v>8.0</v>
      </c>
      <c r="E416" s="29"/>
      <c r="F416" s="4">
        <v>2.0</v>
      </c>
      <c r="G416" s="2" t="s">
        <v>602</v>
      </c>
      <c r="H416" s="5" t="s">
        <v>169</v>
      </c>
      <c r="I416" s="2" t="s">
        <v>924</v>
      </c>
      <c r="J416" s="5">
        <v>847000.0</v>
      </c>
      <c r="K416" s="4" t="s">
        <v>994</v>
      </c>
      <c r="L416" s="3">
        <v>46185.84468155092</v>
      </c>
      <c r="M416" s="2" t="s">
        <v>995</v>
      </c>
      <c r="N416" s="29"/>
      <c r="O416" s="29"/>
      <c r="Q416" s="2" t="s">
        <v>996</v>
      </c>
      <c r="R416" s="2" t="s">
        <v>997</v>
      </c>
      <c r="S416" s="4">
        <v>2024.0</v>
      </c>
      <c r="T416" s="30"/>
      <c r="U416" s="2" t="s">
        <v>998</v>
      </c>
    </row>
    <row r="417">
      <c r="A417" s="2" t="s">
        <v>1634</v>
      </c>
      <c r="B417" s="2" t="s">
        <v>17</v>
      </c>
      <c r="C417" s="4">
        <v>2024.0</v>
      </c>
      <c r="D417" s="4">
        <v>8.0</v>
      </c>
      <c r="E417" s="29"/>
      <c r="F417" s="4">
        <v>2.0</v>
      </c>
      <c r="G417" s="2" t="s">
        <v>602</v>
      </c>
      <c r="H417" s="5" t="s">
        <v>176</v>
      </c>
      <c r="I417" s="2" t="s">
        <v>924</v>
      </c>
      <c r="J417" s="5">
        <v>1693000.0</v>
      </c>
      <c r="K417" s="4" t="s">
        <v>994</v>
      </c>
      <c r="L417" s="3">
        <v>46185.84468155092</v>
      </c>
      <c r="M417" s="2" t="s">
        <v>995</v>
      </c>
      <c r="N417" s="29"/>
      <c r="O417" s="29"/>
      <c r="Q417" s="2" t="s">
        <v>996</v>
      </c>
      <c r="R417" s="2" t="s">
        <v>997</v>
      </c>
      <c r="S417" s="4">
        <v>2024.0</v>
      </c>
      <c r="T417" s="30"/>
      <c r="U417" s="2" t="s">
        <v>998</v>
      </c>
    </row>
    <row r="418">
      <c r="A418" s="2" t="s">
        <v>1635</v>
      </c>
      <c r="B418" s="2" t="s">
        <v>17</v>
      </c>
      <c r="C418" s="4">
        <v>2024.0</v>
      </c>
      <c r="D418" s="4">
        <v>8.0</v>
      </c>
      <c r="E418" s="29"/>
      <c r="F418" s="4">
        <v>2.0</v>
      </c>
      <c r="G418" s="2" t="s">
        <v>602</v>
      </c>
      <c r="H418" s="5" t="s">
        <v>183</v>
      </c>
      <c r="I418" s="2" t="s">
        <v>924</v>
      </c>
      <c r="J418" s="5">
        <v>300000.0</v>
      </c>
      <c r="K418" s="4" t="s">
        <v>994</v>
      </c>
      <c r="L418" s="3">
        <v>46185.84468155092</v>
      </c>
      <c r="M418" s="2" t="s">
        <v>995</v>
      </c>
      <c r="N418" s="29"/>
      <c r="O418" s="29"/>
      <c r="Q418" s="2" t="s">
        <v>996</v>
      </c>
      <c r="R418" s="2" t="s">
        <v>997</v>
      </c>
      <c r="S418" s="4">
        <v>2024.0</v>
      </c>
      <c r="T418" s="30"/>
      <c r="U418" s="2" t="s">
        <v>998</v>
      </c>
    </row>
    <row r="419">
      <c r="A419" s="2" t="s">
        <v>1636</v>
      </c>
      <c r="B419" s="2" t="s">
        <v>17</v>
      </c>
      <c r="C419" s="4">
        <v>2024.0</v>
      </c>
      <c r="D419" s="4">
        <v>8.0</v>
      </c>
      <c r="E419" s="29"/>
      <c r="F419" s="4">
        <v>2.0</v>
      </c>
      <c r="G419" s="2" t="s">
        <v>602</v>
      </c>
      <c r="H419" s="5" t="s">
        <v>188</v>
      </c>
      <c r="I419" s="2" t="s">
        <v>924</v>
      </c>
      <c r="J419" s="5">
        <v>100000.0</v>
      </c>
      <c r="K419" s="4" t="s">
        <v>994</v>
      </c>
      <c r="L419" s="3">
        <v>46185.84468155092</v>
      </c>
      <c r="M419" s="2" t="s">
        <v>995</v>
      </c>
      <c r="N419" s="29"/>
      <c r="O419" s="29"/>
      <c r="Q419" s="2" t="s">
        <v>996</v>
      </c>
      <c r="R419" s="2" t="s">
        <v>997</v>
      </c>
      <c r="S419" s="4">
        <v>2024.0</v>
      </c>
      <c r="T419" s="30"/>
      <c r="U419" s="2" t="s">
        <v>998</v>
      </c>
    </row>
    <row r="420">
      <c r="A420" s="2" t="s">
        <v>1637</v>
      </c>
      <c r="B420" s="2" t="s">
        <v>17</v>
      </c>
      <c r="C420" s="4">
        <v>2024.0</v>
      </c>
      <c r="D420" s="4">
        <v>8.0</v>
      </c>
      <c r="E420" s="29"/>
      <c r="F420" s="4">
        <v>2.0</v>
      </c>
      <c r="G420" s="2" t="s">
        <v>602</v>
      </c>
      <c r="H420" s="5" t="s">
        <v>243</v>
      </c>
      <c r="I420" s="2" t="s">
        <v>924</v>
      </c>
      <c r="J420" s="5">
        <v>750000.0</v>
      </c>
      <c r="K420" s="4" t="s">
        <v>994</v>
      </c>
      <c r="L420" s="3">
        <v>46185.84468155092</v>
      </c>
      <c r="M420" s="2" t="s">
        <v>995</v>
      </c>
      <c r="N420" s="29"/>
      <c r="O420" s="29"/>
      <c r="Q420" s="2" t="s">
        <v>996</v>
      </c>
      <c r="R420" s="2" t="s">
        <v>997</v>
      </c>
      <c r="S420" s="4">
        <v>2024.0</v>
      </c>
      <c r="T420" s="30"/>
      <c r="U420" s="2" t="s">
        <v>998</v>
      </c>
    </row>
    <row r="421">
      <c r="A421" s="2" t="s">
        <v>1638</v>
      </c>
      <c r="B421" s="2" t="s">
        <v>17</v>
      </c>
      <c r="C421" s="4">
        <v>2024.0</v>
      </c>
      <c r="D421" s="4">
        <v>8.0</v>
      </c>
      <c r="E421" s="29"/>
      <c r="F421" s="4">
        <v>2.0</v>
      </c>
      <c r="G421" s="2" t="s">
        <v>237</v>
      </c>
      <c r="H421" s="5" t="s">
        <v>237</v>
      </c>
      <c r="I421" s="2" t="s">
        <v>924</v>
      </c>
      <c r="J421" s="5">
        <v>1.23E7</v>
      </c>
      <c r="K421" s="4" t="s">
        <v>994</v>
      </c>
      <c r="L421" s="3">
        <v>46185.84468155092</v>
      </c>
      <c r="M421" s="2" t="s">
        <v>995</v>
      </c>
      <c r="N421" s="29"/>
      <c r="O421" s="29"/>
      <c r="Q421" s="2" t="s">
        <v>996</v>
      </c>
      <c r="R421" s="2" t="s">
        <v>997</v>
      </c>
      <c r="S421" s="4">
        <v>2024.0</v>
      </c>
      <c r="T421" s="30"/>
      <c r="U421" s="2" t="s">
        <v>998</v>
      </c>
    </row>
    <row r="422">
      <c r="A422" s="2" t="s">
        <v>1639</v>
      </c>
      <c r="B422" s="2" t="s">
        <v>17</v>
      </c>
      <c r="C422" s="4">
        <v>2024.0</v>
      </c>
      <c r="D422" s="4">
        <v>8.0</v>
      </c>
      <c r="E422" s="29"/>
      <c r="F422" s="4">
        <v>2.0</v>
      </c>
      <c r="G422" s="2" t="s">
        <v>602</v>
      </c>
      <c r="H422" s="5" t="s">
        <v>239</v>
      </c>
      <c r="I422" s="2" t="s">
        <v>924</v>
      </c>
      <c r="J422" s="5">
        <v>340000.0</v>
      </c>
      <c r="K422" s="4" t="s">
        <v>994</v>
      </c>
      <c r="L422" s="3">
        <v>46185.84468155092</v>
      </c>
      <c r="M422" s="2" t="s">
        <v>995</v>
      </c>
      <c r="N422" s="29"/>
      <c r="O422" s="29"/>
      <c r="Q422" s="2" t="s">
        <v>996</v>
      </c>
      <c r="R422" s="2" t="s">
        <v>997</v>
      </c>
      <c r="S422" s="4">
        <v>2024.0</v>
      </c>
      <c r="T422" s="30"/>
      <c r="U422" s="2" t="s">
        <v>998</v>
      </c>
    </row>
    <row r="423">
      <c r="A423" s="2" t="s">
        <v>1640</v>
      </c>
      <c r="B423" s="2" t="s">
        <v>17</v>
      </c>
      <c r="C423" s="4">
        <v>2024.0</v>
      </c>
      <c r="D423" s="4">
        <v>8.0</v>
      </c>
      <c r="E423" s="29"/>
      <c r="F423" s="4">
        <v>2.0</v>
      </c>
      <c r="G423" s="2" t="s">
        <v>602</v>
      </c>
      <c r="H423" s="5" t="s">
        <v>935</v>
      </c>
      <c r="I423" s="2" t="s">
        <v>924</v>
      </c>
      <c r="J423" s="5">
        <v>1760000.0</v>
      </c>
      <c r="K423" s="4" t="s">
        <v>994</v>
      </c>
      <c r="L423" s="3">
        <v>46185.84468155092</v>
      </c>
      <c r="M423" s="2" t="s">
        <v>995</v>
      </c>
      <c r="N423" s="29"/>
      <c r="O423" s="29"/>
      <c r="Q423" s="2" t="s">
        <v>996</v>
      </c>
      <c r="R423" s="2" t="s">
        <v>997</v>
      </c>
      <c r="S423" s="4">
        <v>2024.0</v>
      </c>
      <c r="T423" s="30"/>
      <c r="U423" s="2" t="s">
        <v>998</v>
      </c>
    </row>
    <row r="424">
      <c r="A424" s="2" t="s">
        <v>1641</v>
      </c>
      <c r="B424" s="2" t="s">
        <v>17</v>
      </c>
      <c r="C424" s="4">
        <v>2024.0</v>
      </c>
      <c r="D424" s="4">
        <v>9.0</v>
      </c>
      <c r="E424" s="29"/>
      <c r="F424" s="4">
        <v>1.0</v>
      </c>
      <c r="G424" s="2" t="s">
        <v>602</v>
      </c>
      <c r="H424" s="5" t="s">
        <v>169</v>
      </c>
      <c r="I424" s="2" t="s">
        <v>925</v>
      </c>
      <c r="J424" s="5">
        <v>1988000.0</v>
      </c>
      <c r="K424" s="4" t="s">
        <v>994</v>
      </c>
      <c r="L424" s="3">
        <v>46185.84468155092</v>
      </c>
      <c r="M424" s="2" t="s">
        <v>995</v>
      </c>
      <c r="N424" s="29"/>
      <c r="O424" s="29"/>
      <c r="Q424" s="2" t="s">
        <v>996</v>
      </c>
      <c r="R424" s="2" t="s">
        <v>997</v>
      </c>
      <c r="S424" s="4">
        <v>2024.0</v>
      </c>
      <c r="T424" s="30"/>
      <c r="U424" s="2" t="s">
        <v>998</v>
      </c>
    </row>
    <row r="425">
      <c r="A425" s="2" t="s">
        <v>1642</v>
      </c>
      <c r="B425" s="2" t="s">
        <v>17</v>
      </c>
      <c r="C425" s="4">
        <v>2024.0</v>
      </c>
      <c r="D425" s="4">
        <v>9.0</v>
      </c>
      <c r="E425" s="29"/>
      <c r="F425" s="4">
        <v>1.0</v>
      </c>
      <c r="G425" s="2" t="s">
        <v>602</v>
      </c>
      <c r="H425" s="5" t="s">
        <v>176</v>
      </c>
      <c r="I425" s="2" t="s">
        <v>925</v>
      </c>
      <c r="J425" s="5">
        <v>2580280.0</v>
      </c>
      <c r="K425" s="4" t="s">
        <v>994</v>
      </c>
      <c r="L425" s="3">
        <v>46185.84468155092</v>
      </c>
      <c r="M425" s="2" t="s">
        <v>995</v>
      </c>
      <c r="N425" s="29"/>
      <c r="O425" s="29"/>
      <c r="Q425" s="2" t="s">
        <v>996</v>
      </c>
      <c r="R425" s="2" t="s">
        <v>997</v>
      </c>
      <c r="S425" s="4">
        <v>2024.0</v>
      </c>
      <c r="T425" s="30"/>
      <c r="U425" s="2" t="s">
        <v>998</v>
      </c>
    </row>
    <row r="426">
      <c r="A426" s="2" t="s">
        <v>1643</v>
      </c>
      <c r="B426" s="2" t="s">
        <v>17</v>
      </c>
      <c r="C426" s="4">
        <v>2024.0</v>
      </c>
      <c r="D426" s="4">
        <v>9.0</v>
      </c>
      <c r="E426" s="29"/>
      <c r="F426" s="4">
        <v>1.0</v>
      </c>
      <c r="G426" s="2" t="s">
        <v>602</v>
      </c>
      <c r="H426" s="5" t="s">
        <v>183</v>
      </c>
      <c r="I426" s="2" t="s">
        <v>925</v>
      </c>
      <c r="J426" s="5">
        <v>300000.0</v>
      </c>
      <c r="K426" s="4" t="s">
        <v>994</v>
      </c>
      <c r="L426" s="3">
        <v>46185.84468155092</v>
      </c>
      <c r="M426" s="2" t="s">
        <v>995</v>
      </c>
      <c r="N426" s="29"/>
      <c r="O426" s="29"/>
      <c r="Q426" s="2" t="s">
        <v>996</v>
      </c>
      <c r="R426" s="2" t="s">
        <v>997</v>
      </c>
      <c r="S426" s="4">
        <v>2024.0</v>
      </c>
      <c r="T426" s="30"/>
      <c r="U426" s="2" t="s">
        <v>998</v>
      </c>
    </row>
    <row r="427">
      <c r="A427" s="2" t="s">
        <v>1644</v>
      </c>
      <c r="B427" s="2" t="s">
        <v>17</v>
      </c>
      <c r="C427" s="4">
        <v>2024.0</v>
      </c>
      <c r="D427" s="4">
        <v>9.0</v>
      </c>
      <c r="E427" s="29"/>
      <c r="F427" s="4">
        <v>1.0</v>
      </c>
      <c r="G427" s="2" t="s">
        <v>602</v>
      </c>
      <c r="H427" s="5" t="s">
        <v>188</v>
      </c>
      <c r="I427" s="2" t="s">
        <v>925</v>
      </c>
      <c r="J427" s="5">
        <v>100000.0</v>
      </c>
      <c r="K427" s="4" t="s">
        <v>994</v>
      </c>
      <c r="L427" s="3">
        <v>46185.84468155092</v>
      </c>
      <c r="M427" s="2" t="s">
        <v>995</v>
      </c>
      <c r="N427" s="29"/>
      <c r="O427" s="29"/>
      <c r="Q427" s="2" t="s">
        <v>996</v>
      </c>
      <c r="R427" s="2" t="s">
        <v>997</v>
      </c>
      <c r="S427" s="4">
        <v>2024.0</v>
      </c>
      <c r="T427" s="30"/>
      <c r="U427" s="2" t="s">
        <v>998</v>
      </c>
    </row>
    <row r="428">
      <c r="A428" s="2" t="s">
        <v>1645</v>
      </c>
      <c r="B428" s="2" t="s">
        <v>17</v>
      </c>
      <c r="C428" s="4">
        <v>2024.0</v>
      </c>
      <c r="D428" s="4">
        <v>9.0</v>
      </c>
      <c r="E428" s="29"/>
      <c r="F428" s="4">
        <v>1.0</v>
      </c>
      <c r="G428" s="2" t="s">
        <v>237</v>
      </c>
      <c r="H428" s="5" t="s">
        <v>237</v>
      </c>
      <c r="I428" s="2" t="s">
        <v>925</v>
      </c>
      <c r="J428" s="5">
        <v>1.2E7</v>
      </c>
      <c r="K428" s="4" t="s">
        <v>994</v>
      </c>
      <c r="L428" s="3">
        <v>46185.84468155092</v>
      </c>
      <c r="M428" s="2" t="s">
        <v>995</v>
      </c>
      <c r="N428" s="29"/>
      <c r="O428" s="29"/>
      <c r="Q428" s="2" t="s">
        <v>996</v>
      </c>
      <c r="R428" s="2" t="s">
        <v>997</v>
      </c>
      <c r="S428" s="4">
        <v>2024.0</v>
      </c>
      <c r="T428" s="30"/>
      <c r="U428" s="2" t="s">
        <v>998</v>
      </c>
    </row>
    <row r="429">
      <c r="A429" s="2" t="s">
        <v>1646</v>
      </c>
      <c r="B429" s="2" t="s">
        <v>17</v>
      </c>
      <c r="C429" s="4">
        <v>2024.0</v>
      </c>
      <c r="D429" s="4">
        <v>9.0</v>
      </c>
      <c r="E429" s="29"/>
      <c r="F429" s="4">
        <v>1.0</v>
      </c>
      <c r="G429" s="2" t="s">
        <v>602</v>
      </c>
      <c r="H429" s="5" t="s">
        <v>935</v>
      </c>
      <c r="I429" s="2" t="s">
        <v>925</v>
      </c>
      <c r="J429" s="5">
        <v>5653000.0</v>
      </c>
      <c r="K429" s="4" t="s">
        <v>994</v>
      </c>
      <c r="L429" s="3">
        <v>46185.84468155092</v>
      </c>
      <c r="M429" s="2" t="s">
        <v>995</v>
      </c>
      <c r="N429" s="29"/>
      <c r="O429" s="29"/>
      <c r="Q429" s="2" t="s">
        <v>996</v>
      </c>
      <c r="R429" s="2" t="s">
        <v>997</v>
      </c>
      <c r="S429" s="4">
        <v>2024.0</v>
      </c>
      <c r="T429" s="30"/>
      <c r="U429" s="2" t="s">
        <v>998</v>
      </c>
    </row>
    <row r="430">
      <c r="A430" s="2" t="s">
        <v>1647</v>
      </c>
      <c r="B430" s="2" t="s">
        <v>17</v>
      </c>
      <c r="C430" s="4">
        <v>2024.0</v>
      </c>
      <c r="D430" s="4">
        <v>9.0</v>
      </c>
      <c r="E430" s="29"/>
      <c r="F430" s="4">
        <v>2.0</v>
      </c>
      <c r="G430" s="2" t="s">
        <v>602</v>
      </c>
      <c r="H430" s="5" t="s">
        <v>169</v>
      </c>
      <c r="I430" s="2" t="s">
        <v>926</v>
      </c>
      <c r="J430" s="5">
        <v>2086000.0</v>
      </c>
      <c r="K430" s="4" t="s">
        <v>994</v>
      </c>
      <c r="L430" s="3">
        <v>46185.84468155092</v>
      </c>
      <c r="M430" s="2" t="s">
        <v>995</v>
      </c>
      <c r="N430" s="29"/>
      <c r="O430" s="29"/>
      <c r="Q430" s="2" t="s">
        <v>996</v>
      </c>
      <c r="R430" s="2" t="s">
        <v>997</v>
      </c>
      <c r="S430" s="4">
        <v>2024.0</v>
      </c>
      <c r="T430" s="30"/>
      <c r="U430" s="2" t="s">
        <v>998</v>
      </c>
    </row>
    <row r="431">
      <c r="A431" s="2" t="s">
        <v>1648</v>
      </c>
      <c r="B431" s="2" t="s">
        <v>17</v>
      </c>
      <c r="C431" s="4">
        <v>2024.0</v>
      </c>
      <c r="D431" s="4">
        <v>9.0</v>
      </c>
      <c r="E431" s="29"/>
      <c r="F431" s="4">
        <v>2.0</v>
      </c>
      <c r="G431" s="2" t="s">
        <v>602</v>
      </c>
      <c r="H431" s="5" t="s">
        <v>176</v>
      </c>
      <c r="I431" s="2" t="s">
        <v>926</v>
      </c>
      <c r="J431" s="5">
        <v>2694810.0</v>
      </c>
      <c r="K431" s="4" t="s">
        <v>994</v>
      </c>
      <c r="L431" s="3">
        <v>46185.84468155092</v>
      </c>
      <c r="M431" s="2" t="s">
        <v>995</v>
      </c>
      <c r="N431" s="29"/>
      <c r="O431" s="29"/>
      <c r="Q431" s="2" t="s">
        <v>996</v>
      </c>
      <c r="R431" s="2" t="s">
        <v>997</v>
      </c>
      <c r="S431" s="4">
        <v>2024.0</v>
      </c>
      <c r="T431" s="30"/>
      <c r="U431" s="2" t="s">
        <v>998</v>
      </c>
    </row>
    <row r="432">
      <c r="A432" s="2" t="s">
        <v>1649</v>
      </c>
      <c r="B432" s="2" t="s">
        <v>17</v>
      </c>
      <c r="C432" s="4">
        <v>2024.0</v>
      </c>
      <c r="D432" s="4">
        <v>9.0</v>
      </c>
      <c r="E432" s="29"/>
      <c r="F432" s="4">
        <v>2.0</v>
      </c>
      <c r="G432" s="2" t="s">
        <v>602</v>
      </c>
      <c r="H432" s="5" t="s">
        <v>183</v>
      </c>
      <c r="I432" s="2" t="s">
        <v>926</v>
      </c>
      <c r="J432" s="5">
        <v>300000.0</v>
      </c>
      <c r="K432" s="4" t="s">
        <v>994</v>
      </c>
      <c r="L432" s="3">
        <v>46185.84468155092</v>
      </c>
      <c r="M432" s="2" t="s">
        <v>995</v>
      </c>
      <c r="N432" s="29"/>
      <c r="O432" s="29"/>
      <c r="Q432" s="2" t="s">
        <v>996</v>
      </c>
      <c r="R432" s="2" t="s">
        <v>997</v>
      </c>
      <c r="S432" s="4">
        <v>2024.0</v>
      </c>
      <c r="T432" s="30"/>
      <c r="U432" s="2" t="s">
        <v>998</v>
      </c>
    </row>
    <row r="433">
      <c r="A433" s="2" t="s">
        <v>1650</v>
      </c>
      <c r="B433" s="2" t="s">
        <v>17</v>
      </c>
      <c r="C433" s="4">
        <v>2024.0</v>
      </c>
      <c r="D433" s="4">
        <v>9.0</v>
      </c>
      <c r="E433" s="29"/>
      <c r="F433" s="4">
        <v>2.0</v>
      </c>
      <c r="G433" s="2" t="s">
        <v>602</v>
      </c>
      <c r="H433" s="5" t="s">
        <v>188</v>
      </c>
      <c r="I433" s="2" t="s">
        <v>926</v>
      </c>
      <c r="J433" s="5">
        <v>100000.0</v>
      </c>
      <c r="K433" s="4" t="s">
        <v>994</v>
      </c>
      <c r="L433" s="3">
        <v>46185.84468155092</v>
      </c>
      <c r="M433" s="2" t="s">
        <v>995</v>
      </c>
      <c r="N433" s="29"/>
      <c r="O433" s="29"/>
      <c r="Q433" s="2" t="s">
        <v>996</v>
      </c>
      <c r="R433" s="2" t="s">
        <v>997</v>
      </c>
      <c r="S433" s="4">
        <v>2024.0</v>
      </c>
      <c r="T433" s="30"/>
      <c r="U433" s="2" t="s">
        <v>998</v>
      </c>
    </row>
    <row r="434">
      <c r="A434" s="2" t="s">
        <v>1651</v>
      </c>
      <c r="B434" s="2" t="s">
        <v>17</v>
      </c>
      <c r="C434" s="4">
        <v>2024.0</v>
      </c>
      <c r="D434" s="4">
        <v>9.0</v>
      </c>
      <c r="E434" s="29"/>
      <c r="F434" s="4">
        <v>2.0</v>
      </c>
      <c r="G434" s="2" t="s">
        <v>237</v>
      </c>
      <c r="H434" s="5" t="s">
        <v>237</v>
      </c>
      <c r="I434" s="2" t="s">
        <v>926</v>
      </c>
      <c r="J434" s="5">
        <v>1.12E7</v>
      </c>
      <c r="K434" s="4" t="s">
        <v>994</v>
      </c>
      <c r="L434" s="3">
        <v>46185.84468155092</v>
      </c>
      <c r="M434" s="2" t="s">
        <v>995</v>
      </c>
      <c r="N434" s="29"/>
      <c r="O434" s="29"/>
      <c r="Q434" s="2" t="s">
        <v>996</v>
      </c>
      <c r="R434" s="2" t="s">
        <v>997</v>
      </c>
      <c r="S434" s="4">
        <v>2024.0</v>
      </c>
      <c r="T434" s="30"/>
      <c r="U434" s="2" t="s">
        <v>998</v>
      </c>
    </row>
    <row r="435">
      <c r="A435" s="2" t="s">
        <v>1652</v>
      </c>
      <c r="B435" s="2" t="s">
        <v>17</v>
      </c>
      <c r="C435" s="4">
        <v>2024.0</v>
      </c>
      <c r="D435" s="4">
        <v>9.0</v>
      </c>
      <c r="E435" s="29"/>
      <c r="F435" s="4">
        <v>2.0</v>
      </c>
      <c r="G435" s="2" t="s">
        <v>602</v>
      </c>
      <c r="H435" s="5" t="s">
        <v>239</v>
      </c>
      <c r="I435" s="2" t="s">
        <v>926</v>
      </c>
      <c r="J435" s="5">
        <v>600000.0</v>
      </c>
      <c r="K435" s="4" t="s">
        <v>994</v>
      </c>
      <c r="L435" s="3">
        <v>46185.84468155092</v>
      </c>
      <c r="M435" s="2" t="s">
        <v>995</v>
      </c>
      <c r="N435" s="29"/>
      <c r="O435" s="29"/>
      <c r="Q435" s="2" t="s">
        <v>996</v>
      </c>
      <c r="R435" s="2" t="s">
        <v>997</v>
      </c>
      <c r="S435" s="4">
        <v>2024.0</v>
      </c>
      <c r="T435" s="30"/>
      <c r="U435" s="2" t="s">
        <v>998</v>
      </c>
    </row>
    <row r="436">
      <c r="A436" s="2" t="s">
        <v>1653</v>
      </c>
      <c r="B436" s="2" t="s">
        <v>17</v>
      </c>
      <c r="C436" s="4">
        <v>2024.0</v>
      </c>
      <c r="D436" s="4">
        <v>9.0</v>
      </c>
      <c r="E436" s="29"/>
      <c r="F436" s="4">
        <v>2.0</v>
      </c>
      <c r="G436" s="2" t="s">
        <v>602</v>
      </c>
      <c r="H436" s="5" t="s">
        <v>936</v>
      </c>
      <c r="I436" s="2" t="s">
        <v>926</v>
      </c>
      <c r="J436" s="5">
        <v>3000000.0</v>
      </c>
      <c r="K436" s="4" t="s">
        <v>994</v>
      </c>
      <c r="L436" s="3">
        <v>46185.84468155092</v>
      </c>
      <c r="M436" s="2" t="s">
        <v>995</v>
      </c>
      <c r="N436" s="29"/>
      <c r="O436" s="29"/>
      <c r="Q436" s="2" t="s">
        <v>996</v>
      </c>
      <c r="R436" s="2" t="s">
        <v>997</v>
      </c>
      <c r="S436" s="4">
        <v>2024.0</v>
      </c>
      <c r="T436" s="30"/>
      <c r="U436" s="2" t="s">
        <v>998</v>
      </c>
    </row>
    <row r="437">
      <c r="A437" s="2" t="s">
        <v>1654</v>
      </c>
      <c r="B437" s="2" t="s">
        <v>17</v>
      </c>
      <c r="C437" s="4">
        <v>2024.0</v>
      </c>
      <c r="D437" s="4">
        <v>9.0</v>
      </c>
      <c r="E437" s="29"/>
      <c r="F437" s="4">
        <v>2.0</v>
      </c>
      <c r="G437" s="2" t="s">
        <v>602</v>
      </c>
      <c r="H437" s="5" t="s">
        <v>935</v>
      </c>
      <c r="I437" s="2" t="s">
        <v>926</v>
      </c>
      <c r="J437" s="5">
        <v>1370000.0</v>
      </c>
      <c r="K437" s="4" t="s">
        <v>994</v>
      </c>
      <c r="L437" s="3">
        <v>46185.84468155092</v>
      </c>
      <c r="M437" s="2" t="s">
        <v>995</v>
      </c>
      <c r="N437" s="29"/>
      <c r="O437" s="29"/>
      <c r="Q437" s="2" t="s">
        <v>996</v>
      </c>
      <c r="R437" s="2" t="s">
        <v>997</v>
      </c>
      <c r="S437" s="4">
        <v>2024.0</v>
      </c>
      <c r="T437" s="30"/>
      <c r="U437" s="2" t="s">
        <v>998</v>
      </c>
    </row>
    <row r="438">
      <c r="A438" s="2" t="s">
        <v>1655</v>
      </c>
      <c r="B438" s="2" t="s">
        <v>17</v>
      </c>
      <c r="C438" s="4">
        <v>2024.0</v>
      </c>
      <c r="D438" s="4">
        <v>10.0</v>
      </c>
      <c r="E438" s="29"/>
      <c r="F438" s="4">
        <v>1.0</v>
      </c>
      <c r="G438" s="2" t="s">
        <v>602</v>
      </c>
      <c r="H438" s="5" t="s">
        <v>169</v>
      </c>
      <c r="I438" s="2" t="s">
        <v>927</v>
      </c>
      <c r="J438" s="5">
        <v>3070000.0</v>
      </c>
      <c r="K438" s="4" t="s">
        <v>994</v>
      </c>
      <c r="L438" s="3">
        <v>46185.84468155092</v>
      </c>
      <c r="M438" s="2" t="s">
        <v>995</v>
      </c>
      <c r="N438" s="29"/>
      <c r="O438" s="29"/>
      <c r="Q438" s="2" t="s">
        <v>996</v>
      </c>
      <c r="R438" s="2" t="s">
        <v>997</v>
      </c>
      <c r="S438" s="4">
        <v>2024.0</v>
      </c>
      <c r="T438" s="30"/>
      <c r="U438" s="2" t="s">
        <v>998</v>
      </c>
    </row>
    <row r="439">
      <c r="A439" s="2" t="s">
        <v>1656</v>
      </c>
      <c r="B439" s="2" t="s">
        <v>17</v>
      </c>
      <c r="C439" s="4">
        <v>2024.0</v>
      </c>
      <c r="D439" s="4">
        <v>10.0</v>
      </c>
      <c r="E439" s="29"/>
      <c r="F439" s="4">
        <v>1.0</v>
      </c>
      <c r="G439" s="2" t="s">
        <v>602</v>
      </c>
      <c r="H439" s="5" t="s">
        <v>176</v>
      </c>
      <c r="I439" s="2" t="s">
        <v>927</v>
      </c>
      <c r="J439" s="5">
        <v>4685000.0</v>
      </c>
      <c r="K439" s="4" t="s">
        <v>994</v>
      </c>
      <c r="L439" s="3">
        <v>46185.84468155092</v>
      </c>
      <c r="M439" s="2" t="s">
        <v>995</v>
      </c>
      <c r="N439" s="29"/>
      <c r="O439" s="29"/>
      <c r="Q439" s="2" t="s">
        <v>996</v>
      </c>
      <c r="R439" s="2" t="s">
        <v>997</v>
      </c>
      <c r="S439" s="4">
        <v>2024.0</v>
      </c>
      <c r="T439" s="30"/>
      <c r="U439" s="2" t="s">
        <v>998</v>
      </c>
    </row>
    <row r="440">
      <c r="A440" s="2" t="s">
        <v>1657</v>
      </c>
      <c r="B440" s="2" t="s">
        <v>17</v>
      </c>
      <c r="C440" s="4">
        <v>2024.0</v>
      </c>
      <c r="D440" s="4">
        <v>10.0</v>
      </c>
      <c r="E440" s="29"/>
      <c r="F440" s="4">
        <v>1.0</v>
      </c>
      <c r="G440" s="2" t="s">
        <v>602</v>
      </c>
      <c r="H440" s="5" t="s">
        <v>183</v>
      </c>
      <c r="I440" s="2" t="s">
        <v>927</v>
      </c>
      <c r="J440" s="5">
        <v>600000.0</v>
      </c>
      <c r="K440" s="4" t="s">
        <v>994</v>
      </c>
      <c r="L440" s="3">
        <v>46185.84468155092</v>
      </c>
      <c r="M440" s="2" t="s">
        <v>995</v>
      </c>
      <c r="N440" s="29"/>
      <c r="O440" s="29"/>
      <c r="Q440" s="2" t="s">
        <v>996</v>
      </c>
      <c r="R440" s="2" t="s">
        <v>997</v>
      </c>
      <c r="S440" s="4">
        <v>2024.0</v>
      </c>
      <c r="T440" s="30"/>
      <c r="U440" s="2" t="s">
        <v>998</v>
      </c>
    </row>
    <row r="441">
      <c r="A441" s="2" t="s">
        <v>1658</v>
      </c>
      <c r="B441" s="2" t="s">
        <v>17</v>
      </c>
      <c r="C441" s="4">
        <v>2024.0</v>
      </c>
      <c r="D441" s="4">
        <v>10.0</v>
      </c>
      <c r="E441" s="29"/>
      <c r="F441" s="4">
        <v>1.0</v>
      </c>
      <c r="G441" s="2" t="s">
        <v>602</v>
      </c>
      <c r="H441" s="5" t="s">
        <v>188</v>
      </c>
      <c r="I441" s="2" t="s">
        <v>927</v>
      </c>
      <c r="J441" s="5">
        <v>200000.0</v>
      </c>
      <c r="K441" s="4" t="s">
        <v>994</v>
      </c>
      <c r="L441" s="3">
        <v>46185.84468155092</v>
      </c>
      <c r="M441" s="2" t="s">
        <v>995</v>
      </c>
      <c r="N441" s="29"/>
      <c r="O441" s="29"/>
      <c r="Q441" s="2" t="s">
        <v>996</v>
      </c>
      <c r="R441" s="2" t="s">
        <v>997</v>
      </c>
      <c r="S441" s="4">
        <v>2024.0</v>
      </c>
      <c r="T441" s="30"/>
      <c r="U441" s="2" t="s">
        <v>998</v>
      </c>
    </row>
    <row r="442">
      <c r="A442" s="2" t="s">
        <v>1659</v>
      </c>
      <c r="B442" s="2" t="s">
        <v>17</v>
      </c>
      <c r="C442" s="4">
        <v>2024.0</v>
      </c>
      <c r="D442" s="4">
        <v>10.0</v>
      </c>
      <c r="E442" s="29"/>
      <c r="F442" s="4">
        <v>1.0</v>
      </c>
      <c r="G442" s="2" t="s">
        <v>602</v>
      </c>
      <c r="H442" s="5" t="s">
        <v>243</v>
      </c>
      <c r="I442" s="2" t="s">
        <v>927</v>
      </c>
      <c r="J442" s="5">
        <v>750000.0</v>
      </c>
      <c r="K442" s="4" t="s">
        <v>994</v>
      </c>
      <c r="L442" s="3">
        <v>46185.84468155092</v>
      </c>
      <c r="M442" s="2" t="s">
        <v>995</v>
      </c>
      <c r="N442" s="29"/>
      <c r="O442" s="29"/>
      <c r="Q442" s="2" t="s">
        <v>996</v>
      </c>
      <c r="R442" s="2" t="s">
        <v>997</v>
      </c>
      <c r="S442" s="4">
        <v>2024.0</v>
      </c>
      <c r="T442" s="30"/>
      <c r="U442" s="2" t="s">
        <v>998</v>
      </c>
    </row>
    <row r="443">
      <c r="A443" s="2" t="s">
        <v>1660</v>
      </c>
      <c r="B443" s="2" t="s">
        <v>17</v>
      </c>
      <c r="C443" s="4">
        <v>2024.0</v>
      </c>
      <c r="D443" s="4">
        <v>10.0</v>
      </c>
      <c r="E443" s="29"/>
      <c r="F443" s="4">
        <v>1.0</v>
      </c>
      <c r="G443" s="2" t="s">
        <v>237</v>
      </c>
      <c r="H443" s="5" t="s">
        <v>237</v>
      </c>
      <c r="I443" s="2" t="s">
        <v>927</v>
      </c>
      <c r="J443" s="5">
        <v>5.5E7</v>
      </c>
      <c r="K443" s="4" t="s">
        <v>994</v>
      </c>
      <c r="L443" s="3">
        <v>46185.84468155092</v>
      </c>
      <c r="M443" s="2" t="s">
        <v>995</v>
      </c>
      <c r="N443" s="29"/>
      <c r="O443" s="29"/>
      <c r="Q443" s="2" t="s">
        <v>996</v>
      </c>
      <c r="R443" s="2" t="s">
        <v>997</v>
      </c>
      <c r="S443" s="4">
        <v>2024.0</v>
      </c>
      <c r="T443" s="30"/>
      <c r="U443" s="2" t="s">
        <v>998</v>
      </c>
    </row>
    <row r="444">
      <c r="A444" s="2" t="s">
        <v>1661</v>
      </c>
      <c r="B444" s="2" t="s">
        <v>17</v>
      </c>
      <c r="C444" s="4">
        <v>2024.0</v>
      </c>
      <c r="D444" s="4">
        <v>10.0</v>
      </c>
      <c r="E444" s="29"/>
      <c r="F444" s="4">
        <v>1.0</v>
      </c>
      <c r="G444" s="2" t="s">
        <v>602</v>
      </c>
      <c r="H444" s="5" t="s">
        <v>935</v>
      </c>
      <c r="I444" s="2" t="s">
        <v>927</v>
      </c>
      <c r="J444" s="5">
        <v>1325000.0</v>
      </c>
      <c r="K444" s="4" t="s">
        <v>994</v>
      </c>
      <c r="L444" s="3">
        <v>46185.84468155092</v>
      </c>
      <c r="M444" s="2" t="s">
        <v>995</v>
      </c>
      <c r="N444" s="29"/>
      <c r="O444" s="29"/>
      <c r="Q444" s="2" t="s">
        <v>996</v>
      </c>
      <c r="R444" s="2" t="s">
        <v>997</v>
      </c>
      <c r="S444" s="4">
        <v>2024.0</v>
      </c>
      <c r="T444" s="30"/>
      <c r="U444" s="2" t="s">
        <v>998</v>
      </c>
    </row>
    <row r="445">
      <c r="A445" s="2" t="s">
        <v>1662</v>
      </c>
      <c r="B445" s="2" t="s">
        <v>17</v>
      </c>
      <c r="C445" s="4">
        <v>2024.0</v>
      </c>
      <c r="D445" s="4">
        <v>10.0</v>
      </c>
      <c r="E445" s="29"/>
      <c r="F445" s="4">
        <v>1.0</v>
      </c>
      <c r="G445" s="2" t="s">
        <v>602</v>
      </c>
      <c r="H445" s="5" t="s">
        <v>239</v>
      </c>
      <c r="I445" s="2" t="s">
        <v>927</v>
      </c>
      <c r="J445" s="5">
        <v>300000.0</v>
      </c>
      <c r="K445" s="4" t="s">
        <v>994</v>
      </c>
      <c r="L445" s="3">
        <v>46185.84468155092</v>
      </c>
      <c r="M445" s="2" t="s">
        <v>995</v>
      </c>
      <c r="N445" s="29"/>
      <c r="O445" s="29"/>
      <c r="Q445" s="2" t="s">
        <v>996</v>
      </c>
      <c r="R445" s="2" t="s">
        <v>997</v>
      </c>
      <c r="S445" s="4">
        <v>2024.0</v>
      </c>
      <c r="T445" s="30"/>
      <c r="U445" s="2" t="s">
        <v>998</v>
      </c>
    </row>
    <row r="446">
      <c r="A446" s="2" t="s">
        <v>1663</v>
      </c>
      <c r="B446" s="2" t="s">
        <v>17</v>
      </c>
      <c r="C446" s="4">
        <v>2024.0</v>
      </c>
      <c r="D446" s="4">
        <v>10.0</v>
      </c>
      <c r="E446" s="29"/>
      <c r="F446" s="4">
        <v>1.0</v>
      </c>
      <c r="G446" s="2" t="s">
        <v>602</v>
      </c>
      <c r="H446" s="5" t="s">
        <v>936</v>
      </c>
      <c r="I446" s="2" t="s">
        <v>927</v>
      </c>
      <c r="J446" s="5">
        <v>3000000.0</v>
      </c>
      <c r="K446" s="4" t="s">
        <v>994</v>
      </c>
      <c r="L446" s="3">
        <v>46185.84468155092</v>
      </c>
      <c r="M446" s="2" t="s">
        <v>995</v>
      </c>
      <c r="N446" s="29"/>
      <c r="O446" s="29"/>
      <c r="Q446" s="2" t="s">
        <v>996</v>
      </c>
      <c r="R446" s="2" t="s">
        <v>997</v>
      </c>
      <c r="S446" s="4">
        <v>2024.0</v>
      </c>
      <c r="T446" s="30"/>
      <c r="U446" s="2" t="s">
        <v>998</v>
      </c>
    </row>
    <row r="447">
      <c r="A447" s="2" t="s">
        <v>1664</v>
      </c>
      <c r="B447" s="2" t="s">
        <v>17</v>
      </c>
      <c r="C447" s="4">
        <v>2024.0</v>
      </c>
      <c r="D447" s="4">
        <v>10.0</v>
      </c>
      <c r="E447" s="29"/>
      <c r="F447" s="4">
        <v>2.0</v>
      </c>
      <c r="G447" s="2" t="s">
        <v>602</v>
      </c>
      <c r="H447" s="5" t="s">
        <v>169</v>
      </c>
      <c r="I447" s="2" t="s">
        <v>928</v>
      </c>
      <c r="J447" s="5">
        <v>3348000.0</v>
      </c>
      <c r="K447" s="4" t="s">
        <v>994</v>
      </c>
      <c r="L447" s="3">
        <v>46185.84468155092</v>
      </c>
      <c r="M447" s="2" t="s">
        <v>995</v>
      </c>
      <c r="N447" s="29"/>
      <c r="O447" s="29"/>
      <c r="Q447" s="2" t="s">
        <v>996</v>
      </c>
      <c r="R447" s="2" t="s">
        <v>997</v>
      </c>
      <c r="S447" s="4">
        <v>2024.0</v>
      </c>
      <c r="T447" s="30"/>
      <c r="U447" s="2" t="s">
        <v>998</v>
      </c>
    </row>
    <row r="448">
      <c r="A448" s="2" t="s">
        <v>1665</v>
      </c>
      <c r="B448" s="2" t="s">
        <v>17</v>
      </c>
      <c r="C448" s="4">
        <v>2024.0</v>
      </c>
      <c r="D448" s="4">
        <v>10.0</v>
      </c>
      <c r="E448" s="29"/>
      <c r="F448" s="4">
        <v>2.0</v>
      </c>
      <c r="G448" s="2" t="s">
        <v>602</v>
      </c>
      <c r="H448" s="5" t="s">
        <v>176</v>
      </c>
      <c r="I448" s="2" t="s">
        <v>928</v>
      </c>
      <c r="J448" s="5">
        <v>6363000.0</v>
      </c>
      <c r="K448" s="4" t="s">
        <v>994</v>
      </c>
      <c r="L448" s="3">
        <v>46185.84468155092</v>
      </c>
      <c r="M448" s="2" t="s">
        <v>995</v>
      </c>
      <c r="N448" s="29"/>
      <c r="O448" s="29"/>
      <c r="Q448" s="2" t="s">
        <v>996</v>
      </c>
      <c r="R448" s="2" t="s">
        <v>997</v>
      </c>
      <c r="S448" s="4">
        <v>2024.0</v>
      </c>
      <c r="T448" s="30"/>
      <c r="U448" s="2" t="s">
        <v>998</v>
      </c>
    </row>
    <row r="449">
      <c r="A449" s="2" t="s">
        <v>1666</v>
      </c>
      <c r="B449" s="2" t="s">
        <v>17</v>
      </c>
      <c r="C449" s="4">
        <v>2024.0</v>
      </c>
      <c r="D449" s="4">
        <v>10.0</v>
      </c>
      <c r="E449" s="29"/>
      <c r="F449" s="4">
        <v>2.0</v>
      </c>
      <c r="G449" s="2" t="s">
        <v>602</v>
      </c>
      <c r="H449" s="5" t="s">
        <v>183</v>
      </c>
      <c r="I449" s="2" t="s">
        <v>928</v>
      </c>
      <c r="J449" s="5">
        <v>800000.0</v>
      </c>
      <c r="K449" s="4" t="s">
        <v>994</v>
      </c>
      <c r="L449" s="3">
        <v>46185.84468155092</v>
      </c>
      <c r="M449" s="2" t="s">
        <v>995</v>
      </c>
      <c r="N449" s="29"/>
      <c r="O449" s="29"/>
      <c r="Q449" s="2" t="s">
        <v>996</v>
      </c>
      <c r="R449" s="2" t="s">
        <v>997</v>
      </c>
      <c r="S449" s="4">
        <v>2024.0</v>
      </c>
      <c r="T449" s="30"/>
      <c r="U449" s="2" t="s">
        <v>998</v>
      </c>
    </row>
    <row r="450">
      <c r="A450" s="2" t="s">
        <v>1667</v>
      </c>
      <c r="B450" s="2" t="s">
        <v>17</v>
      </c>
      <c r="C450" s="4">
        <v>2024.0</v>
      </c>
      <c r="D450" s="4">
        <v>10.0</v>
      </c>
      <c r="E450" s="29"/>
      <c r="F450" s="4">
        <v>2.0</v>
      </c>
      <c r="G450" s="2" t="s">
        <v>602</v>
      </c>
      <c r="H450" s="5" t="s">
        <v>188</v>
      </c>
      <c r="I450" s="2" t="s">
        <v>928</v>
      </c>
      <c r="J450" s="5">
        <v>300000.0</v>
      </c>
      <c r="K450" s="4" t="s">
        <v>994</v>
      </c>
      <c r="L450" s="3">
        <v>46185.84468155092</v>
      </c>
      <c r="M450" s="2" t="s">
        <v>995</v>
      </c>
      <c r="N450" s="29"/>
      <c r="O450" s="29"/>
      <c r="Q450" s="2" t="s">
        <v>996</v>
      </c>
      <c r="R450" s="2" t="s">
        <v>997</v>
      </c>
      <c r="S450" s="4">
        <v>2024.0</v>
      </c>
      <c r="T450" s="30"/>
      <c r="U450" s="2" t="s">
        <v>998</v>
      </c>
    </row>
    <row r="451">
      <c r="A451" s="2" t="s">
        <v>1668</v>
      </c>
      <c r="B451" s="2" t="s">
        <v>17</v>
      </c>
      <c r="C451" s="4">
        <v>2024.0</v>
      </c>
      <c r="D451" s="4">
        <v>10.0</v>
      </c>
      <c r="E451" s="29"/>
      <c r="F451" s="4">
        <v>2.0</v>
      </c>
      <c r="G451" s="2" t="s">
        <v>237</v>
      </c>
      <c r="H451" s="5" t="s">
        <v>237</v>
      </c>
      <c r="I451" s="2" t="s">
        <v>928</v>
      </c>
      <c r="J451" s="5">
        <v>3.0E7</v>
      </c>
      <c r="K451" s="4" t="s">
        <v>994</v>
      </c>
      <c r="L451" s="3">
        <v>46185.84468155092</v>
      </c>
      <c r="M451" s="2" t="s">
        <v>995</v>
      </c>
      <c r="N451" s="29"/>
      <c r="O451" s="29"/>
      <c r="Q451" s="2" t="s">
        <v>996</v>
      </c>
      <c r="R451" s="2" t="s">
        <v>997</v>
      </c>
      <c r="S451" s="4">
        <v>2024.0</v>
      </c>
      <c r="T451" s="30"/>
      <c r="U451" s="2" t="s">
        <v>998</v>
      </c>
    </row>
    <row r="452">
      <c r="A452" s="2" t="s">
        <v>1669</v>
      </c>
      <c r="B452" s="2" t="s">
        <v>17</v>
      </c>
      <c r="C452" s="4">
        <v>2024.0</v>
      </c>
      <c r="D452" s="4">
        <v>10.0</v>
      </c>
      <c r="E452" s="29"/>
      <c r="F452" s="4">
        <v>2.0</v>
      </c>
      <c r="G452" s="2" t="s">
        <v>602</v>
      </c>
      <c r="H452" s="5" t="s">
        <v>938</v>
      </c>
      <c r="I452" s="2" t="s">
        <v>928</v>
      </c>
      <c r="J452" s="5">
        <v>1.667E7</v>
      </c>
      <c r="K452" s="4" t="s">
        <v>994</v>
      </c>
      <c r="L452" s="3">
        <v>46185.84468155092</v>
      </c>
      <c r="M452" s="2" t="s">
        <v>995</v>
      </c>
      <c r="N452" s="29"/>
      <c r="O452" s="29"/>
      <c r="Q452" s="2" t="s">
        <v>996</v>
      </c>
      <c r="R452" s="2" t="s">
        <v>997</v>
      </c>
      <c r="S452" s="4">
        <v>2024.0</v>
      </c>
      <c r="T452" s="30"/>
      <c r="U452" s="2" t="s">
        <v>998</v>
      </c>
    </row>
    <row r="453">
      <c r="A453" s="2" t="s">
        <v>1670</v>
      </c>
      <c r="B453" s="2" t="s">
        <v>17</v>
      </c>
      <c r="C453" s="4">
        <v>2024.0</v>
      </c>
      <c r="D453" s="4">
        <v>10.0</v>
      </c>
      <c r="E453" s="29"/>
      <c r="F453" s="4">
        <v>2.0</v>
      </c>
      <c r="G453" s="2" t="s">
        <v>602</v>
      </c>
      <c r="H453" s="5" t="s">
        <v>793</v>
      </c>
      <c r="I453" s="2" t="s">
        <v>928</v>
      </c>
      <c r="J453" s="5">
        <v>6450000.0</v>
      </c>
      <c r="K453" s="4" t="s">
        <v>994</v>
      </c>
      <c r="L453" s="3">
        <v>46185.84468155092</v>
      </c>
      <c r="M453" s="2" t="s">
        <v>995</v>
      </c>
      <c r="N453" s="29"/>
      <c r="O453" s="29"/>
      <c r="Q453" s="2" t="s">
        <v>996</v>
      </c>
      <c r="R453" s="2" t="s">
        <v>997</v>
      </c>
      <c r="S453" s="4">
        <v>2024.0</v>
      </c>
      <c r="T453" s="30"/>
      <c r="U453" s="2" t="s">
        <v>998</v>
      </c>
    </row>
    <row r="454">
      <c r="A454" s="2" t="s">
        <v>1671</v>
      </c>
      <c r="B454" s="2" t="s">
        <v>17</v>
      </c>
      <c r="C454" s="4">
        <v>2024.0</v>
      </c>
      <c r="D454" s="4">
        <v>10.0</v>
      </c>
      <c r="E454" s="29"/>
      <c r="F454" s="4">
        <v>2.0</v>
      </c>
      <c r="G454" s="2" t="s">
        <v>602</v>
      </c>
      <c r="H454" s="5" t="s">
        <v>248</v>
      </c>
      <c r="I454" s="2" t="s">
        <v>928</v>
      </c>
      <c r="J454" s="5">
        <v>927000.0</v>
      </c>
      <c r="K454" s="4" t="s">
        <v>994</v>
      </c>
      <c r="L454" s="3">
        <v>46185.84468155092</v>
      </c>
      <c r="M454" s="2" t="s">
        <v>995</v>
      </c>
      <c r="N454" s="29"/>
      <c r="O454" s="29"/>
      <c r="Q454" s="2" t="s">
        <v>996</v>
      </c>
      <c r="R454" s="2" t="s">
        <v>997</v>
      </c>
      <c r="S454" s="4">
        <v>2024.0</v>
      </c>
      <c r="T454" s="30"/>
      <c r="U454" s="2" t="s">
        <v>998</v>
      </c>
    </row>
    <row r="455">
      <c r="A455" s="2" t="s">
        <v>1672</v>
      </c>
      <c r="B455" s="2" t="s">
        <v>17</v>
      </c>
      <c r="C455" s="4">
        <v>2024.0</v>
      </c>
      <c r="D455" s="4">
        <v>10.0</v>
      </c>
      <c r="E455" s="29"/>
      <c r="F455" s="4">
        <v>2.0</v>
      </c>
      <c r="G455" s="2" t="s">
        <v>602</v>
      </c>
      <c r="H455" s="5" t="s">
        <v>940</v>
      </c>
      <c r="I455" s="2" t="s">
        <v>928</v>
      </c>
      <c r="J455" s="5">
        <v>4000000.0</v>
      </c>
      <c r="K455" s="4" t="s">
        <v>994</v>
      </c>
      <c r="L455" s="3">
        <v>46185.84468155092</v>
      </c>
      <c r="M455" s="2" t="s">
        <v>995</v>
      </c>
      <c r="N455" s="29"/>
      <c r="O455" s="29"/>
      <c r="Q455" s="2" t="s">
        <v>996</v>
      </c>
      <c r="R455" s="2" t="s">
        <v>997</v>
      </c>
      <c r="S455" s="4">
        <v>2024.0</v>
      </c>
      <c r="T455" s="30"/>
      <c r="U455" s="2" t="s">
        <v>998</v>
      </c>
    </row>
    <row r="456">
      <c r="A456" s="2" t="s">
        <v>1673</v>
      </c>
      <c r="B456" s="2" t="s">
        <v>17</v>
      </c>
      <c r="C456" s="4">
        <v>2024.0</v>
      </c>
      <c r="D456" s="4">
        <v>10.0</v>
      </c>
      <c r="E456" s="29"/>
      <c r="F456" s="4">
        <v>2.0</v>
      </c>
      <c r="G456" s="2" t="s">
        <v>602</v>
      </c>
      <c r="H456" s="5" t="s">
        <v>239</v>
      </c>
      <c r="I456" s="2" t="s">
        <v>928</v>
      </c>
      <c r="J456" s="5">
        <v>380000.0</v>
      </c>
      <c r="K456" s="4" t="s">
        <v>994</v>
      </c>
      <c r="L456" s="3">
        <v>46185.84468155092</v>
      </c>
      <c r="M456" s="2" t="s">
        <v>995</v>
      </c>
      <c r="N456" s="29"/>
      <c r="O456" s="29"/>
      <c r="Q456" s="2" t="s">
        <v>996</v>
      </c>
      <c r="R456" s="2" t="s">
        <v>997</v>
      </c>
      <c r="S456" s="4">
        <v>2024.0</v>
      </c>
      <c r="T456" s="30"/>
      <c r="U456" s="2" t="s">
        <v>998</v>
      </c>
    </row>
    <row r="457">
      <c r="A457" s="2" t="s">
        <v>1674</v>
      </c>
      <c r="B457" s="2" t="s">
        <v>17</v>
      </c>
      <c r="C457" s="4">
        <v>2024.0</v>
      </c>
      <c r="D457" s="4">
        <v>10.0</v>
      </c>
      <c r="E457" s="29"/>
      <c r="F457" s="4">
        <v>2.0</v>
      </c>
      <c r="G457" s="2" t="s">
        <v>602</v>
      </c>
      <c r="H457" s="5" t="s">
        <v>935</v>
      </c>
      <c r="I457" s="2" t="s">
        <v>928</v>
      </c>
      <c r="J457" s="5">
        <v>3455500.0</v>
      </c>
      <c r="K457" s="4" t="s">
        <v>994</v>
      </c>
      <c r="L457" s="3">
        <v>46185.84468155092</v>
      </c>
      <c r="M457" s="2" t="s">
        <v>995</v>
      </c>
      <c r="N457" s="29"/>
      <c r="O457" s="29"/>
      <c r="Q457" s="2" t="s">
        <v>996</v>
      </c>
      <c r="R457" s="2" t="s">
        <v>997</v>
      </c>
      <c r="S457" s="4">
        <v>2024.0</v>
      </c>
      <c r="T457" s="30"/>
      <c r="U457" s="2" t="s">
        <v>998</v>
      </c>
    </row>
    <row r="458">
      <c r="A458" s="2" t="s">
        <v>1675</v>
      </c>
      <c r="B458" s="2" t="s">
        <v>17</v>
      </c>
      <c r="C458" s="4">
        <v>2024.0</v>
      </c>
      <c r="D458" s="4">
        <v>11.0</v>
      </c>
      <c r="E458" s="29"/>
      <c r="F458" s="4">
        <v>1.0</v>
      </c>
      <c r="G458" s="2" t="s">
        <v>602</v>
      </c>
      <c r="H458" s="5" t="s">
        <v>169</v>
      </c>
      <c r="I458" s="2" t="s">
        <v>929</v>
      </c>
      <c r="J458" s="5">
        <v>1495000.0</v>
      </c>
      <c r="K458" s="4" t="s">
        <v>994</v>
      </c>
      <c r="L458" s="3">
        <v>46185.84468155092</v>
      </c>
      <c r="M458" s="2" t="s">
        <v>995</v>
      </c>
      <c r="N458" s="29"/>
      <c r="O458" s="29"/>
      <c r="Q458" s="2" t="s">
        <v>996</v>
      </c>
      <c r="R458" s="2" t="s">
        <v>997</v>
      </c>
      <c r="S458" s="4">
        <v>2024.0</v>
      </c>
      <c r="T458" s="30"/>
      <c r="U458" s="2" t="s">
        <v>998</v>
      </c>
    </row>
    <row r="459">
      <c r="A459" s="2" t="s">
        <v>1676</v>
      </c>
      <c r="B459" s="2" t="s">
        <v>17</v>
      </c>
      <c r="C459" s="4">
        <v>2024.0</v>
      </c>
      <c r="D459" s="4">
        <v>11.0</v>
      </c>
      <c r="E459" s="29"/>
      <c r="F459" s="4">
        <v>1.0</v>
      </c>
      <c r="G459" s="2" t="s">
        <v>602</v>
      </c>
      <c r="H459" s="5" t="s">
        <v>176</v>
      </c>
      <c r="I459" s="2" t="s">
        <v>929</v>
      </c>
      <c r="J459" s="5">
        <v>3225000.0</v>
      </c>
      <c r="K459" s="4" t="s">
        <v>994</v>
      </c>
      <c r="L459" s="3">
        <v>46185.84468155092</v>
      </c>
      <c r="M459" s="2" t="s">
        <v>995</v>
      </c>
      <c r="N459" s="29"/>
      <c r="O459" s="29"/>
      <c r="Q459" s="2" t="s">
        <v>996</v>
      </c>
      <c r="R459" s="2" t="s">
        <v>997</v>
      </c>
      <c r="S459" s="4">
        <v>2024.0</v>
      </c>
      <c r="T459" s="30"/>
      <c r="U459" s="2" t="s">
        <v>998</v>
      </c>
    </row>
    <row r="460">
      <c r="A460" s="2" t="s">
        <v>1677</v>
      </c>
      <c r="B460" s="2" t="s">
        <v>17</v>
      </c>
      <c r="C460" s="4">
        <v>2024.0</v>
      </c>
      <c r="D460" s="4">
        <v>11.0</v>
      </c>
      <c r="E460" s="29"/>
      <c r="F460" s="4">
        <v>1.0</v>
      </c>
      <c r="G460" s="2" t="s">
        <v>602</v>
      </c>
      <c r="H460" s="5" t="s">
        <v>183</v>
      </c>
      <c r="I460" s="2" t="s">
        <v>929</v>
      </c>
      <c r="J460" s="5">
        <v>400000.0</v>
      </c>
      <c r="K460" s="4" t="s">
        <v>994</v>
      </c>
      <c r="L460" s="3">
        <v>46185.84468155092</v>
      </c>
      <c r="M460" s="2" t="s">
        <v>995</v>
      </c>
      <c r="N460" s="29"/>
      <c r="O460" s="29"/>
      <c r="Q460" s="2" t="s">
        <v>996</v>
      </c>
      <c r="R460" s="2" t="s">
        <v>997</v>
      </c>
      <c r="S460" s="4">
        <v>2024.0</v>
      </c>
      <c r="T460" s="30"/>
      <c r="U460" s="2" t="s">
        <v>998</v>
      </c>
    </row>
    <row r="461">
      <c r="A461" s="2" t="s">
        <v>1678</v>
      </c>
      <c r="B461" s="2" t="s">
        <v>17</v>
      </c>
      <c r="C461" s="4">
        <v>2024.0</v>
      </c>
      <c r="D461" s="4">
        <v>11.0</v>
      </c>
      <c r="E461" s="29"/>
      <c r="F461" s="4">
        <v>1.0</v>
      </c>
      <c r="G461" s="2" t="s">
        <v>602</v>
      </c>
      <c r="H461" s="5" t="s">
        <v>188</v>
      </c>
      <c r="I461" s="2" t="s">
        <v>929</v>
      </c>
      <c r="J461" s="5">
        <v>150000.0</v>
      </c>
      <c r="K461" s="4" t="s">
        <v>994</v>
      </c>
      <c r="L461" s="3">
        <v>46185.84468155092</v>
      </c>
      <c r="M461" s="2" t="s">
        <v>995</v>
      </c>
      <c r="N461" s="29"/>
      <c r="O461" s="29"/>
      <c r="Q461" s="2" t="s">
        <v>996</v>
      </c>
      <c r="R461" s="2" t="s">
        <v>997</v>
      </c>
      <c r="S461" s="4">
        <v>2024.0</v>
      </c>
      <c r="T461" s="30"/>
      <c r="U461" s="2" t="s">
        <v>998</v>
      </c>
    </row>
    <row r="462">
      <c r="A462" s="2" t="s">
        <v>1679</v>
      </c>
      <c r="B462" s="2" t="s">
        <v>17</v>
      </c>
      <c r="C462" s="4">
        <v>2024.0</v>
      </c>
      <c r="D462" s="4">
        <v>11.0</v>
      </c>
      <c r="E462" s="29"/>
      <c r="F462" s="4">
        <v>1.0</v>
      </c>
      <c r="G462" s="2" t="s">
        <v>602</v>
      </c>
      <c r="H462" s="5" t="s">
        <v>243</v>
      </c>
      <c r="I462" s="2" t="s">
        <v>929</v>
      </c>
      <c r="J462" s="5">
        <v>1000000.0</v>
      </c>
      <c r="K462" s="4" t="s">
        <v>994</v>
      </c>
      <c r="L462" s="3">
        <v>46185.84468155092</v>
      </c>
      <c r="M462" s="2" t="s">
        <v>995</v>
      </c>
      <c r="N462" s="29"/>
      <c r="O462" s="29"/>
      <c r="Q462" s="2" t="s">
        <v>996</v>
      </c>
      <c r="R462" s="2" t="s">
        <v>997</v>
      </c>
      <c r="S462" s="4">
        <v>2024.0</v>
      </c>
      <c r="T462" s="30"/>
      <c r="U462" s="2" t="s">
        <v>998</v>
      </c>
    </row>
    <row r="463">
      <c r="A463" s="2" t="s">
        <v>1680</v>
      </c>
      <c r="B463" s="2" t="s">
        <v>17</v>
      </c>
      <c r="C463" s="4">
        <v>2024.0</v>
      </c>
      <c r="D463" s="4">
        <v>11.0</v>
      </c>
      <c r="E463" s="29"/>
      <c r="F463" s="4">
        <v>1.0</v>
      </c>
      <c r="G463" s="2" t="s">
        <v>237</v>
      </c>
      <c r="H463" s="5" t="s">
        <v>237</v>
      </c>
      <c r="I463" s="2" t="s">
        <v>929</v>
      </c>
      <c r="J463" s="5">
        <v>3000000.0</v>
      </c>
      <c r="K463" s="4" t="s">
        <v>994</v>
      </c>
      <c r="L463" s="3">
        <v>46185.84468155092</v>
      </c>
      <c r="M463" s="2" t="s">
        <v>995</v>
      </c>
      <c r="N463" s="29"/>
      <c r="O463" s="29"/>
      <c r="Q463" s="2" t="s">
        <v>996</v>
      </c>
      <c r="R463" s="2" t="s">
        <v>997</v>
      </c>
      <c r="S463" s="4">
        <v>2024.0</v>
      </c>
      <c r="T463" s="30"/>
      <c r="U463" s="2" t="s">
        <v>998</v>
      </c>
    </row>
    <row r="464">
      <c r="A464" s="2" t="s">
        <v>1681</v>
      </c>
      <c r="B464" s="2" t="s">
        <v>17</v>
      </c>
      <c r="C464" s="4">
        <v>2024.0</v>
      </c>
      <c r="D464" s="4">
        <v>11.0</v>
      </c>
      <c r="E464" s="29"/>
      <c r="F464" s="4">
        <v>1.0</v>
      </c>
      <c r="G464" s="2" t="s">
        <v>607</v>
      </c>
      <c r="H464" s="5" t="s">
        <v>270</v>
      </c>
      <c r="I464" s="2" t="s">
        <v>941</v>
      </c>
      <c r="J464" s="5">
        <v>7450000.0</v>
      </c>
      <c r="K464" s="4" t="s">
        <v>994</v>
      </c>
      <c r="L464" s="3">
        <v>46185.84468155092</v>
      </c>
      <c r="M464" s="2" t="s">
        <v>995</v>
      </c>
      <c r="N464" s="29"/>
      <c r="O464" s="29"/>
      <c r="Q464" s="2" t="s">
        <v>996</v>
      </c>
      <c r="R464" s="2" t="s">
        <v>997</v>
      </c>
      <c r="S464" s="4">
        <v>2024.0</v>
      </c>
      <c r="T464" s="30"/>
      <c r="U464" s="2" t="s">
        <v>998</v>
      </c>
    </row>
    <row r="465">
      <c r="A465" s="2" t="s">
        <v>1682</v>
      </c>
      <c r="B465" s="2" t="s">
        <v>17</v>
      </c>
      <c r="C465" s="4">
        <v>2024.0</v>
      </c>
      <c r="D465" s="4">
        <v>11.0</v>
      </c>
      <c r="E465" s="29"/>
      <c r="F465" s="4">
        <v>1.0</v>
      </c>
      <c r="G465" s="2" t="s">
        <v>602</v>
      </c>
      <c r="H465" s="5" t="s">
        <v>936</v>
      </c>
      <c r="I465" s="2" t="s">
        <v>929</v>
      </c>
      <c r="J465" s="5">
        <v>3000000.0</v>
      </c>
      <c r="K465" s="4" t="s">
        <v>994</v>
      </c>
      <c r="L465" s="3">
        <v>46185.84468155092</v>
      </c>
      <c r="M465" s="2" t="s">
        <v>995</v>
      </c>
      <c r="N465" s="29"/>
      <c r="O465" s="29"/>
      <c r="Q465" s="2" t="s">
        <v>996</v>
      </c>
      <c r="R465" s="2" t="s">
        <v>997</v>
      </c>
      <c r="S465" s="4">
        <v>2024.0</v>
      </c>
      <c r="T465" s="30"/>
      <c r="U465" s="2" t="s">
        <v>998</v>
      </c>
    </row>
    <row r="466">
      <c r="A466" s="2" t="s">
        <v>1683</v>
      </c>
      <c r="B466" s="2" t="s">
        <v>17</v>
      </c>
      <c r="C466" s="4">
        <v>2024.0</v>
      </c>
      <c r="D466" s="4">
        <v>11.0</v>
      </c>
      <c r="E466" s="29"/>
      <c r="F466" s="4">
        <v>1.0</v>
      </c>
      <c r="G466" s="2" t="s">
        <v>602</v>
      </c>
      <c r="H466" s="5" t="s">
        <v>935</v>
      </c>
      <c r="I466" s="2" t="s">
        <v>929</v>
      </c>
      <c r="J466" s="5">
        <v>3125000.0</v>
      </c>
      <c r="K466" s="4" t="s">
        <v>994</v>
      </c>
      <c r="L466" s="3">
        <v>46185.84468155092</v>
      </c>
      <c r="M466" s="2" t="s">
        <v>995</v>
      </c>
      <c r="N466" s="29"/>
      <c r="O466" s="29"/>
      <c r="Q466" s="2" t="s">
        <v>996</v>
      </c>
      <c r="R466" s="2" t="s">
        <v>997</v>
      </c>
      <c r="S466" s="4">
        <v>2024.0</v>
      </c>
      <c r="T466" s="30"/>
      <c r="U466" s="2" t="s">
        <v>998</v>
      </c>
    </row>
    <row r="467">
      <c r="A467" s="2" t="s">
        <v>1684</v>
      </c>
      <c r="B467" s="2" t="s">
        <v>17</v>
      </c>
      <c r="C467" s="4">
        <v>2024.0</v>
      </c>
      <c r="D467" s="4">
        <v>11.0</v>
      </c>
      <c r="E467" s="29"/>
      <c r="F467" s="4">
        <v>2.0</v>
      </c>
      <c r="G467" s="2" t="s">
        <v>602</v>
      </c>
      <c r="H467" s="5" t="s">
        <v>169</v>
      </c>
      <c r="I467" s="2" t="s">
        <v>930</v>
      </c>
      <c r="J467" s="5">
        <v>1638000.0</v>
      </c>
      <c r="K467" s="4" t="s">
        <v>994</v>
      </c>
      <c r="L467" s="3">
        <v>46185.84468155092</v>
      </c>
      <c r="M467" s="2" t="s">
        <v>995</v>
      </c>
      <c r="N467" s="29"/>
      <c r="O467" s="29"/>
      <c r="Q467" s="2" t="s">
        <v>996</v>
      </c>
      <c r="R467" s="2" t="s">
        <v>997</v>
      </c>
      <c r="S467" s="4">
        <v>2024.0</v>
      </c>
      <c r="T467" s="30"/>
      <c r="U467" s="2" t="s">
        <v>998</v>
      </c>
    </row>
    <row r="468">
      <c r="A468" s="2" t="s">
        <v>1685</v>
      </c>
      <c r="B468" s="2" t="s">
        <v>17</v>
      </c>
      <c r="C468" s="4">
        <v>2024.0</v>
      </c>
      <c r="D468" s="4">
        <v>11.0</v>
      </c>
      <c r="E468" s="29"/>
      <c r="F468" s="4">
        <v>2.0</v>
      </c>
      <c r="G468" s="2" t="s">
        <v>602</v>
      </c>
      <c r="H468" s="5" t="s">
        <v>176</v>
      </c>
      <c r="I468" s="2" t="s">
        <v>930</v>
      </c>
      <c r="J468" s="5">
        <v>3261000.0</v>
      </c>
      <c r="K468" s="4" t="s">
        <v>994</v>
      </c>
      <c r="L468" s="3">
        <v>46185.84468155092</v>
      </c>
      <c r="M468" s="2" t="s">
        <v>995</v>
      </c>
      <c r="N468" s="29"/>
      <c r="O468" s="29"/>
      <c r="Q468" s="2" t="s">
        <v>996</v>
      </c>
      <c r="R468" s="2" t="s">
        <v>997</v>
      </c>
      <c r="S468" s="4">
        <v>2024.0</v>
      </c>
      <c r="T468" s="30"/>
      <c r="U468" s="2" t="s">
        <v>998</v>
      </c>
    </row>
    <row r="469">
      <c r="A469" s="2" t="s">
        <v>1686</v>
      </c>
      <c r="B469" s="2" t="s">
        <v>17</v>
      </c>
      <c r="C469" s="4">
        <v>2024.0</v>
      </c>
      <c r="D469" s="4">
        <v>11.0</v>
      </c>
      <c r="E469" s="29"/>
      <c r="F469" s="4">
        <v>2.0</v>
      </c>
      <c r="G469" s="2" t="s">
        <v>602</v>
      </c>
      <c r="H469" s="5" t="s">
        <v>183</v>
      </c>
      <c r="I469" s="2" t="s">
        <v>930</v>
      </c>
      <c r="J469" s="5">
        <v>400000.0</v>
      </c>
      <c r="K469" s="4" t="s">
        <v>994</v>
      </c>
      <c r="L469" s="3">
        <v>46185.84468155092</v>
      </c>
      <c r="M469" s="2" t="s">
        <v>995</v>
      </c>
      <c r="N469" s="29"/>
      <c r="O469" s="29"/>
      <c r="Q469" s="2" t="s">
        <v>996</v>
      </c>
      <c r="R469" s="2" t="s">
        <v>997</v>
      </c>
      <c r="S469" s="4">
        <v>2024.0</v>
      </c>
      <c r="T469" s="30"/>
      <c r="U469" s="2" t="s">
        <v>998</v>
      </c>
    </row>
    <row r="470">
      <c r="A470" s="2" t="s">
        <v>1687</v>
      </c>
      <c r="B470" s="2" t="s">
        <v>17</v>
      </c>
      <c r="C470" s="4">
        <v>2024.0</v>
      </c>
      <c r="D470" s="4">
        <v>11.0</v>
      </c>
      <c r="E470" s="29"/>
      <c r="F470" s="4">
        <v>2.0</v>
      </c>
      <c r="G470" s="2" t="s">
        <v>602</v>
      </c>
      <c r="H470" s="5" t="s">
        <v>188</v>
      </c>
      <c r="I470" s="2" t="s">
        <v>930</v>
      </c>
      <c r="J470" s="5">
        <v>150000.0</v>
      </c>
      <c r="K470" s="4" t="s">
        <v>994</v>
      </c>
      <c r="L470" s="3">
        <v>46185.84468155092</v>
      </c>
      <c r="M470" s="2" t="s">
        <v>995</v>
      </c>
      <c r="N470" s="29"/>
      <c r="O470" s="29"/>
      <c r="Q470" s="2" t="s">
        <v>996</v>
      </c>
      <c r="R470" s="2" t="s">
        <v>997</v>
      </c>
      <c r="S470" s="4">
        <v>2024.0</v>
      </c>
      <c r="T470" s="30"/>
      <c r="U470" s="2" t="s">
        <v>998</v>
      </c>
    </row>
    <row r="471">
      <c r="A471" s="2" t="s">
        <v>1688</v>
      </c>
      <c r="B471" s="2" t="s">
        <v>17</v>
      </c>
      <c r="C471" s="4">
        <v>2024.0</v>
      </c>
      <c r="D471" s="4">
        <v>11.0</v>
      </c>
      <c r="E471" s="29"/>
      <c r="F471" s="4">
        <v>2.0</v>
      </c>
      <c r="G471" s="2" t="s">
        <v>607</v>
      </c>
      <c r="H471" s="5" t="s">
        <v>197</v>
      </c>
      <c r="I471" s="2" t="s">
        <v>930</v>
      </c>
      <c r="J471" s="5">
        <v>4000000.0</v>
      </c>
      <c r="K471" s="4" t="s">
        <v>994</v>
      </c>
      <c r="L471" s="3">
        <v>46185.84468155092</v>
      </c>
      <c r="M471" s="2" t="s">
        <v>995</v>
      </c>
      <c r="N471" s="29"/>
      <c r="O471" s="29"/>
      <c r="Q471" s="2" t="s">
        <v>996</v>
      </c>
      <c r="R471" s="2" t="s">
        <v>997</v>
      </c>
      <c r="S471" s="4">
        <v>2024.0</v>
      </c>
      <c r="T471" s="30"/>
      <c r="U471" s="2" t="s">
        <v>998</v>
      </c>
    </row>
    <row r="472">
      <c r="A472" s="2" t="s">
        <v>1689</v>
      </c>
      <c r="B472" s="2" t="s">
        <v>17</v>
      </c>
      <c r="C472" s="4">
        <v>2024.0</v>
      </c>
      <c r="D472" s="4">
        <v>11.0</v>
      </c>
      <c r="E472" s="29"/>
      <c r="F472" s="4">
        <v>2.0</v>
      </c>
      <c r="G472" s="2" t="s">
        <v>237</v>
      </c>
      <c r="H472" s="5" t="s">
        <v>237</v>
      </c>
      <c r="I472" s="2" t="s">
        <v>930</v>
      </c>
      <c r="J472" s="5">
        <v>5000000.0</v>
      </c>
      <c r="K472" s="4" t="s">
        <v>994</v>
      </c>
      <c r="L472" s="3">
        <v>46185.84468155092</v>
      </c>
      <c r="M472" s="2" t="s">
        <v>995</v>
      </c>
      <c r="N472" s="29"/>
      <c r="O472" s="29"/>
      <c r="Q472" s="2" t="s">
        <v>996</v>
      </c>
      <c r="R472" s="2" t="s">
        <v>997</v>
      </c>
      <c r="S472" s="4">
        <v>2024.0</v>
      </c>
      <c r="T472" s="30"/>
      <c r="U472" s="2" t="s">
        <v>998</v>
      </c>
    </row>
    <row r="473">
      <c r="A473" s="2" t="s">
        <v>1690</v>
      </c>
      <c r="B473" s="2" t="s">
        <v>17</v>
      </c>
      <c r="C473" s="4">
        <v>2024.0</v>
      </c>
      <c r="D473" s="4">
        <v>11.0</v>
      </c>
      <c r="E473" s="29"/>
      <c r="F473" s="4">
        <v>2.0</v>
      </c>
      <c r="G473" s="2" t="s">
        <v>602</v>
      </c>
      <c r="H473" s="5" t="s">
        <v>935</v>
      </c>
      <c r="I473" s="2" t="s">
        <v>930</v>
      </c>
      <c r="J473" s="5">
        <v>2200000.0</v>
      </c>
      <c r="K473" s="4" t="s">
        <v>994</v>
      </c>
      <c r="L473" s="3">
        <v>46185.84468155092</v>
      </c>
      <c r="M473" s="2" t="s">
        <v>995</v>
      </c>
      <c r="N473" s="29"/>
      <c r="O473" s="29"/>
      <c r="Q473" s="2" t="s">
        <v>996</v>
      </c>
      <c r="R473" s="2" t="s">
        <v>997</v>
      </c>
      <c r="S473" s="4">
        <v>2024.0</v>
      </c>
      <c r="T473" s="30"/>
      <c r="U473" s="2" t="s">
        <v>998</v>
      </c>
    </row>
    <row r="474">
      <c r="A474" s="2" t="s">
        <v>1691</v>
      </c>
      <c r="B474" s="2" t="s">
        <v>17</v>
      </c>
      <c r="C474" s="4">
        <v>2024.0</v>
      </c>
      <c r="D474" s="4">
        <v>12.0</v>
      </c>
      <c r="E474" s="29"/>
      <c r="F474" s="4">
        <v>1.0</v>
      </c>
      <c r="G474" s="2" t="s">
        <v>602</v>
      </c>
      <c r="H474" s="5" t="s">
        <v>169</v>
      </c>
      <c r="I474" s="2" t="s">
        <v>931</v>
      </c>
      <c r="J474" s="5">
        <v>2050000.0</v>
      </c>
      <c r="K474" s="4" t="s">
        <v>994</v>
      </c>
      <c r="L474" s="3">
        <v>46185.84468155092</v>
      </c>
      <c r="M474" s="2" t="s">
        <v>995</v>
      </c>
      <c r="N474" s="29"/>
      <c r="O474" s="29"/>
      <c r="Q474" s="2" t="s">
        <v>996</v>
      </c>
      <c r="R474" s="2" t="s">
        <v>997</v>
      </c>
      <c r="S474" s="4">
        <v>2024.0</v>
      </c>
      <c r="T474" s="30"/>
      <c r="U474" s="2" t="s">
        <v>998</v>
      </c>
    </row>
    <row r="475">
      <c r="A475" s="2" t="s">
        <v>1692</v>
      </c>
      <c r="B475" s="2" t="s">
        <v>17</v>
      </c>
      <c r="C475" s="4">
        <v>2024.0</v>
      </c>
      <c r="D475" s="4">
        <v>12.0</v>
      </c>
      <c r="E475" s="29"/>
      <c r="F475" s="4">
        <v>1.0</v>
      </c>
      <c r="G475" s="2" t="s">
        <v>602</v>
      </c>
      <c r="H475" s="5" t="s">
        <v>176</v>
      </c>
      <c r="I475" s="2" t="s">
        <v>931</v>
      </c>
      <c r="J475" s="5">
        <v>3669000.0</v>
      </c>
      <c r="K475" s="4" t="s">
        <v>994</v>
      </c>
      <c r="L475" s="3">
        <v>46185.84468155092</v>
      </c>
      <c r="M475" s="2" t="s">
        <v>995</v>
      </c>
      <c r="N475" s="29"/>
      <c r="O475" s="29"/>
      <c r="Q475" s="2" t="s">
        <v>996</v>
      </c>
      <c r="R475" s="2" t="s">
        <v>997</v>
      </c>
      <c r="S475" s="4">
        <v>2024.0</v>
      </c>
      <c r="T475" s="30"/>
      <c r="U475" s="2" t="s">
        <v>998</v>
      </c>
    </row>
    <row r="476">
      <c r="A476" s="2" t="s">
        <v>1693</v>
      </c>
      <c r="B476" s="2" t="s">
        <v>17</v>
      </c>
      <c r="C476" s="4">
        <v>2024.0</v>
      </c>
      <c r="D476" s="4">
        <v>12.0</v>
      </c>
      <c r="E476" s="29"/>
      <c r="F476" s="4">
        <v>1.0</v>
      </c>
      <c r="G476" s="2" t="s">
        <v>602</v>
      </c>
      <c r="H476" s="5" t="s">
        <v>183</v>
      </c>
      <c r="I476" s="2" t="s">
        <v>931</v>
      </c>
      <c r="J476" s="5">
        <v>400000.0</v>
      </c>
      <c r="K476" s="4" t="s">
        <v>994</v>
      </c>
      <c r="L476" s="3">
        <v>46185.84468155092</v>
      </c>
      <c r="M476" s="2" t="s">
        <v>995</v>
      </c>
      <c r="N476" s="29"/>
      <c r="O476" s="29"/>
      <c r="Q476" s="2" t="s">
        <v>996</v>
      </c>
      <c r="R476" s="2" t="s">
        <v>997</v>
      </c>
      <c r="S476" s="4">
        <v>2024.0</v>
      </c>
      <c r="T476" s="30"/>
      <c r="U476" s="2" t="s">
        <v>998</v>
      </c>
    </row>
    <row r="477">
      <c r="A477" s="2" t="s">
        <v>1694</v>
      </c>
      <c r="B477" s="2" t="s">
        <v>17</v>
      </c>
      <c r="C477" s="4">
        <v>2024.0</v>
      </c>
      <c r="D477" s="4">
        <v>12.0</v>
      </c>
      <c r="E477" s="29"/>
      <c r="F477" s="4">
        <v>1.0</v>
      </c>
      <c r="G477" s="2" t="s">
        <v>602</v>
      </c>
      <c r="H477" s="5" t="s">
        <v>188</v>
      </c>
      <c r="I477" s="2" t="s">
        <v>931</v>
      </c>
      <c r="J477" s="5">
        <v>150000.0</v>
      </c>
      <c r="K477" s="4" t="s">
        <v>994</v>
      </c>
      <c r="L477" s="3">
        <v>46185.84468155092</v>
      </c>
      <c r="M477" s="2" t="s">
        <v>995</v>
      </c>
      <c r="N477" s="29"/>
      <c r="O477" s="29"/>
      <c r="Q477" s="2" t="s">
        <v>996</v>
      </c>
      <c r="R477" s="2" t="s">
        <v>997</v>
      </c>
      <c r="S477" s="4">
        <v>2024.0</v>
      </c>
      <c r="T477" s="30"/>
      <c r="U477" s="2" t="s">
        <v>998</v>
      </c>
    </row>
    <row r="478">
      <c r="A478" s="2" t="s">
        <v>1695</v>
      </c>
      <c r="B478" s="2" t="s">
        <v>17</v>
      </c>
      <c r="C478" s="4">
        <v>2024.0</v>
      </c>
      <c r="D478" s="4">
        <v>12.0</v>
      </c>
      <c r="E478" s="29"/>
      <c r="F478" s="4">
        <v>1.0</v>
      </c>
      <c r="G478" s="2" t="s">
        <v>607</v>
      </c>
      <c r="H478" s="5" t="s">
        <v>607</v>
      </c>
      <c r="I478" s="2" t="s">
        <v>931</v>
      </c>
      <c r="J478" s="5">
        <v>3.1175E7</v>
      </c>
      <c r="K478" s="4" t="s">
        <v>994</v>
      </c>
      <c r="L478" s="3">
        <v>46185.84468155092</v>
      </c>
      <c r="M478" s="2" t="s">
        <v>995</v>
      </c>
      <c r="N478" s="29"/>
      <c r="O478" s="29"/>
      <c r="Q478" s="2" t="s">
        <v>996</v>
      </c>
      <c r="R478" s="2" t="s">
        <v>997</v>
      </c>
      <c r="S478" s="4">
        <v>2024.0</v>
      </c>
      <c r="T478" s="30"/>
      <c r="U478" s="2" t="s">
        <v>998</v>
      </c>
    </row>
    <row r="479">
      <c r="A479" s="2" t="s">
        <v>1696</v>
      </c>
      <c r="B479" s="2" t="s">
        <v>17</v>
      </c>
      <c r="C479" s="4">
        <v>2024.0</v>
      </c>
      <c r="D479" s="4">
        <v>12.0</v>
      </c>
      <c r="E479" s="29"/>
      <c r="F479" s="4">
        <v>1.0</v>
      </c>
      <c r="G479" s="2" t="s">
        <v>237</v>
      </c>
      <c r="H479" s="5" t="s">
        <v>237</v>
      </c>
      <c r="I479" s="2" t="s">
        <v>931</v>
      </c>
      <c r="J479" s="5">
        <v>1.07E7</v>
      </c>
      <c r="K479" s="4" t="s">
        <v>994</v>
      </c>
      <c r="L479" s="3">
        <v>46185.84468155092</v>
      </c>
      <c r="M479" s="2" t="s">
        <v>995</v>
      </c>
      <c r="N479" s="29"/>
      <c r="O479" s="29"/>
      <c r="Q479" s="2" t="s">
        <v>996</v>
      </c>
      <c r="R479" s="2" t="s">
        <v>997</v>
      </c>
      <c r="S479" s="4">
        <v>2024.0</v>
      </c>
      <c r="T479" s="30"/>
      <c r="U479" s="2" t="s">
        <v>998</v>
      </c>
    </row>
    <row r="480">
      <c r="A480" s="2" t="s">
        <v>1697</v>
      </c>
      <c r="B480" s="2" t="s">
        <v>17</v>
      </c>
      <c r="C480" s="4">
        <v>2024.0</v>
      </c>
      <c r="D480" s="4">
        <v>12.0</v>
      </c>
      <c r="E480" s="29"/>
      <c r="F480" s="4">
        <v>1.0</v>
      </c>
      <c r="G480" s="2" t="s">
        <v>602</v>
      </c>
      <c r="H480" s="5" t="s">
        <v>938</v>
      </c>
      <c r="I480" s="2" t="s">
        <v>931</v>
      </c>
      <c r="J480" s="5">
        <v>2.69E7</v>
      </c>
      <c r="K480" s="4" t="s">
        <v>994</v>
      </c>
      <c r="L480" s="3">
        <v>46185.84468155092</v>
      </c>
      <c r="M480" s="2" t="s">
        <v>995</v>
      </c>
      <c r="N480" s="29"/>
      <c r="O480" s="29"/>
      <c r="Q480" s="2" t="s">
        <v>996</v>
      </c>
      <c r="R480" s="2" t="s">
        <v>997</v>
      </c>
      <c r="S480" s="4">
        <v>2024.0</v>
      </c>
      <c r="T480" s="30"/>
      <c r="U480" s="2" t="s">
        <v>998</v>
      </c>
    </row>
    <row r="481">
      <c r="A481" s="2" t="s">
        <v>1698</v>
      </c>
      <c r="B481" s="2" t="s">
        <v>17</v>
      </c>
      <c r="C481" s="4">
        <v>2024.0</v>
      </c>
      <c r="D481" s="4">
        <v>12.0</v>
      </c>
      <c r="E481" s="29"/>
      <c r="F481" s="4">
        <v>1.0</v>
      </c>
      <c r="G481" s="2" t="s">
        <v>602</v>
      </c>
      <c r="H481" s="5" t="s">
        <v>793</v>
      </c>
      <c r="I481" s="2" t="s">
        <v>931</v>
      </c>
      <c r="J481" s="5">
        <v>2.94E7</v>
      </c>
      <c r="K481" s="4" t="s">
        <v>994</v>
      </c>
      <c r="L481" s="3">
        <v>46185.84468155092</v>
      </c>
      <c r="M481" s="2" t="s">
        <v>995</v>
      </c>
      <c r="N481" s="29"/>
      <c r="O481" s="29"/>
      <c r="Q481" s="2" t="s">
        <v>996</v>
      </c>
      <c r="R481" s="2" t="s">
        <v>997</v>
      </c>
      <c r="S481" s="4">
        <v>2024.0</v>
      </c>
      <c r="T481" s="30"/>
      <c r="U481" s="2" t="s">
        <v>998</v>
      </c>
    </row>
    <row r="482">
      <c r="A482" s="2" t="s">
        <v>1699</v>
      </c>
      <c r="B482" s="2" t="s">
        <v>17</v>
      </c>
      <c r="C482" s="4">
        <v>2024.0</v>
      </c>
      <c r="D482" s="4">
        <v>12.0</v>
      </c>
      <c r="E482" s="29"/>
      <c r="F482" s="4">
        <v>1.0</v>
      </c>
      <c r="G482" s="2" t="s">
        <v>602</v>
      </c>
      <c r="H482" s="5" t="s">
        <v>248</v>
      </c>
      <c r="I482" s="2" t="s">
        <v>931</v>
      </c>
      <c r="J482" s="5">
        <v>3200000.0</v>
      </c>
      <c r="K482" s="4" t="s">
        <v>994</v>
      </c>
      <c r="L482" s="3">
        <v>46185.84468155092</v>
      </c>
      <c r="M482" s="2" t="s">
        <v>995</v>
      </c>
      <c r="N482" s="29"/>
      <c r="O482" s="29"/>
      <c r="Q482" s="2" t="s">
        <v>996</v>
      </c>
      <c r="R482" s="2" t="s">
        <v>997</v>
      </c>
      <c r="S482" s="4">
        <v>2024.0</v>
      </c>
      <c r="T482" s="30"/>
      <c r="U482" s="2" t="s">
        <v>998</v>
      </c>
    </row>
    <row r="483">
      <c r="A483" s="2" t="s">
        <v>1700</v>
      </c>
      <c r="B483" s="2" t="s">
        <v>17</v>
      </c>
      <c r="C483" s="4">
        <v>2024.0</v>
      </c>
      <c r="D483" s="4">
        <v>12.0</v>
      </c>
      <c r="E483" s="29"/>
      <c r="F483" s="4">
        <v>1.0</v>
      </c>
      <c r="G483" s="2" t="s">
        <v>602</v>
      </c>
      <c r="H483" s="5" t="s">
        <v>239</v>
      </c>
      <c r="I483" s="2" t="s">
        <v>931</v>
      </c>
      <c r="J483" s="5">
        <v>9150000.0</v>
      </c>
      <c r="K483" s="4" t="s">
        <v>994</v>
      </c>
      <c r="L483" s="3">
        <v>46185.84468155092</v>
      </c>
      <c r="M483" s="2" t="s">
        <v>995</v>
      </c>
      <c r="N483" s="29"/>
      <c r="O483" s="29"/>
      <c r="Q483" s="2" t="s">
        <v>996</v>
      </c>
      <c r="R483" s="2" t="s">
        <v>997</v>
      </c>
      <c r="S483" s="4">
        <v>2024.0</v>
      </c>
      <c r="T483" s="30"/>
      <c r="U483" s="2" t="s">
        <v>998</v>
      </c>
    </row>
    <row r="484">
      <c r="A484" s="2" t="s">
        <v>1701</v>
      </c>
      <c r="B484" s="2" t="s">
        <v>17</v>
      </c>
      <c r="C484" s="4">
        <v>2024.0</v>
      </c>
      <c r="D484" s="4">
        <v>12.0</v>
      </c>
      <c r="E484" s="29"/>
      <c r="F484" s="4">
        <v>1.0</v>
      </c>
      <c r="G484" s="2" t="s">
        <v>602</v>
      </c>
      <c r="H484" s="5" t="s">
        <v>243</v>
      </c>
      <c r="I484" s="2" t="s">
        <v>931</v>
      </c>
      <c r="J484" s="5">
        <v>150000.0</v>
      </c>
      <c r="K484" s="4" t="s">
        <v>994</v>
      </c>
      <c r="L484" s="3">
        <v>46185.84468155092</v>
      </c>
      <c r="M484" s="2" t="s">
        <v>995</v>
      </c>
      <c r="N484" s="29"/>
      <c r="O484" s="29"/>
      <c r="Q484" s="2" t="s">
        <v>996</v>
      </c>
      <c r="R484" s="2" t="s">
        <v>997</v>
      </c>
      <c r="S484" s="4">
        <v>2024.0</v>
      </c>
      <c r="T484" s="30"/>
      <c r="U484" s="2" t="s">
        <v>998</v>
      </c>
    </row>
    <row r="485">
      <c r="A485" s="2" t="s">
        <v>1702</v>
      </c>
      <c r="B485" s="2" t="s">
        <v>17</v>
      </c>
      <c r="C485" s="4">
        <v>2024.0</v>
      </c>
      <c r="D485" s="4">
        <v>12.0</v>
      </c>
      <c r="E485" s="29"/>
      <c r="F485" s="4">
        <v>1.0</v>
      </c>
      <c r="G485" s="2" t="s">
        <v>602</v>
      </c>
      <c r="H485" s="5" t="s">
        <v>935</v>
      </c>
      <c r="I485" s="2" t="s">
        <v>931</v>
      </c>
      <c r="J485" s="5">
        <v>4655000.0</v>
      </c>
      <c r="K485" s="4" t="s">
        <v>994</v>
      </c>
      <c r="L485" s="3">
        <v>46185.84468155092</v>
      </c>
      <c r="M485" s="2" t="s">
        <v>995</v>
      </c>
      <c r="N485" s="29"/>
      <c r="O485" s="29"/>
      <c r="Q485" s="2" t="s">
        <v>996</v>
      </c>
      <c r="R485" s="2" t="s">
        <v>997</v>
      </c>
      <c r="S485" s="4">
        <v>2024.0</v>
      </c>
      <c r="T485" s="30"/>
      <c r="U485" s="2" t="s">
        <v>998</v>
      </c>
    </row>
    <row r="486">
      <c r="A486" s="2" t="s">
        <v>1703</v>
      </c>
      <c r="B486" s="2" t="s">
        <v>17</v>
      </c>
      <c r="C486" s="4">
        <v>2024.0</v>
      </c>
      <c r="D486" s="4">
        <v>12.0</v>
      </c>
      <c r="E486" s="29"/>
      <c r="F486" s="4">
        <v>2.0</v>
      </c>
      <c r="G486" s="2" t="s">
        <v>602</v>
      </c>
      <c r="H486" s="5" t="s">
        <v>169</v>
      </c>
      <c r="I486" s="2" t="s">
        <v>932</v>
      </c>
      <c r="J486" s="5">
        <v>1239000.0</v>
      </c>
      <c r="K486" s="4" t="s">
        <v>994</v>
      </c>
      <c r="L486" s="3">
        <v>46185.84468155092</v>
      </c>
      <c r="M486" s="2" t="s">
        <v>995</v>
      </c>
      <c r="N486" s="29"/>
      <c r="O486" s="29"/>
      <c r="Q486" s="2" t="s">
        <v>996</v>
      </c>
      <c r="R486" s="2" t="s">
        <v>997</v>
      </c>
      <c r="S486" s="4">
        <v>2024.0</v>
      </c>
      <c r="T486" s="30"/>
      <c r="U486" s="2" t="s">
        <v>998</v>
      </c>
    </row>
    <row r="487">
      <c r="A487" s="2" t="s">
        <v>1704</v>
      </c>
      <c r="B487" s="2" t="s">
        <v>17</v>
      </c>
      <c r="C487" s="4">
        <v>2024.0</v>
      </c>
      <c r="D487" s="4">
        <v>12.0</v>
      </c>
      <c r="E487" s="29"/>
      <c r="F487" s="4">
        <v>2.0</v>
      </c>
      <c r="G487" s="2" t="s">
        <v>602</v>
      </c>
      <c r="H487" s="5" t="s">
        <v>176</v>
      </c>
      <c r="I487" s="2" t="s">
        <v>932</v>
      </c>
      <c r="J487" s="5">
        <v>2516000.0</v>
      </c>
      <c r="K487" s="4" t="s">
        <v>994</v>
      </c>
      <c r="L487" s="3">
        <v>46185.84468155092</v>
      </c>
      <c r="M487" s="2" t="s">
        <v>995</v>
      </c>
      <c r="N487" s="29"/>
      <c r="O487" s="29"/>
      <c r="Q487" s="2" t="s">
        <v>996</v>
      </c>
      <c r="R487" s="2" t="s">
        <v>997</v>
      </c>
      <c r="S487" s="4">
        <v>2024.0</v>
      </c>
      <c r="T487" s="30"/>
      <c r="U487" s="2" t="s">
        <v>998</v>
      </c>
    </row>
    <row r="488">
      <c r="A488" s="2" t="s">
        <v>1705</v>
      </c>
      <c r="B488" s="2" t="s">
        <v>17</v>
      </c>
      <c r="C488" s="4">
        <v>2024.0</v>
      </c>
      <c r="D488" s="4">
        <v>12.0</v>
      </c>
      <c r="E488" s="29"/>
      <c r="F488" s="4">
        <v>2.0</v>
      </c>
      <c r="G488" s="2" t="s">
        <v>602</v>
      </c>
      <c r="H488" s="5" t="s">
        <v>183</v>
      </c>
      <c r="I488" s="2" t="s">
        <v>932</v>
      </c>
      <c r="J488" s="5">
        <v>400000.0</v>
      </c>
      <c r="K488" s="4" t="s">
        <v>994</v>
      </c>
      <c r="L488" s="3">
        <v>46185.84468155092</v>
      </c>
      <c r="M488" s="2" t="s">
        <v>995</v>
      </c>
      <c r="N488" s="29"/>
      <c r="O488" s="29"/>
      <c r="Q488" s="2" t="s">
        <v>996</v>
      </c>
      <c r="R488" s="2" t="s">
        <v>997</v>
      </c>
      <c r="S488" s="4">
        <v>2024.0</v>
      </c>
      <c r="T488" s="30"/>
      <c r="U488" s="2" t="s">
        <v>998</v>
      </c>
    </row>
    <row r="489">
      <c r="A489" s="2" t="s">
        <v>1706</v>
      </c>
      <c r="B489" s="2" t="s">
        <v>17</v>
      </c>
      <c r="C489" s="4">
        <v>2024.0</v>
      </c>
      <c r="D489" s="4">
        <v>12.0</v>
      </c>
      <c r="E489" s="29"/>
      <c r="F489" s="4">
        <v>2.0</v>
      </c>
      <c r="G489" s="2" t="s">
        <v>602</v>
      </c>
      <c r="H489" s="5" t="s">
        <v>188</v>
      </c>
      <c r="I489" s="2" t="s">
        <v>932</v>
      </c>
      <c r="J489" s="5">
        <v>150000.0</v>
      </c>
      <c r="K489" s="4" t="s">
        <v>994</v>
      </c>
      <c r="L489" s="3">
        <v>46185.84468155092</v>
      </c>
      <c r="M489" s="2" t="s">
        <v>995</v>
      </c>
      <c r="N489" s="29"/>
      <c r="O489" s="29"/>
      <c r="Q489" s="2" t="s">
        <v>996</v>
      </c>
      <c r="R489" s="2" t="s">
        <v>997</v>
      </c>
      <c r="S489" s="4">
        <v>2024.0</v>
      </c>
      <c r="T489" s="30"/>
      <c r="U489" s="2" t="s">
        <v>998</v>
      </c>
    </row>
    <row r="490">
      <c r="A490" s="2" t="s">
        <v>1707</v>
      </c>
      <c r="B490" s="2" t="s">
        <v>17</v>
      </c>
      <c r="C490" s="4">
        <v>2024.0</v>
      </c>
      <c r="D490" s="4">
        <v>12.0</v>
      </c>
      <c r="E490" s="29"/>
      <c r="F490" s="4">
        <v>2.0</v>
      </c>
      <c r="G490" s="2" t="s">
        <v>607</v>
      </c>
      <c r="H490" s="5" t="s">
        <v>607</v>
      </c>
      <c r="I490" s="2" t="s">
        <v>932</v>
      </c>
      <c r="J490" s="5">
        <v>2.834E7</v>
      </c>
      <c r="K490" s="4" t="s">
        <v>994</v>
      </c>
      <c r="L490" s="3">
        <v>46185.84468155092</v>
      </c>
      <c r="M490" s="2" t="s">
        <v>995</v>
      </c>
      <c r="N490" s="29"/>
      <c r="O490" s="29"/>
      <c r="Q490" s="2" t="s">
        <v>996</v>
      </c>
      <c r="R490" s="2" t="s">
        <v>997</v>
      </c>
      <c r="S490" s="4">
        <v>2024.0</v>
      </c>
      <c r="T490" s="30"/>
      <c r="U490" s="2" t="s">
        <v>998</v>
      </c>
    </row>
    <row r="491">
      <c r="A491" s="2" t="s">
        <v>1708</v>
      </c>
      <c r="B491" s="2" t="s">
        <v>17</v>
      </c>
      <c r="C491" s="4">
        <v>2024.0</v>
      </c>
      <c r="D491" s="4">
        <v>12.0</v>
      </c>
      <c r="E491" s="29"/>
      <c r="F491" s="4">
        <v>2.0</v>
      </c>
      <c r="G491" s="2" t="s">
        <v>602</v>
      </c>
      <c r="H491" s="5" t="s">
        <v>243</v>
      </c>
      <c r="I491" s="2" t="s">
        <v>932</v>
      </c>
      <c r="J491" s="5">
        <v>500000.0</v>
      </c>
      <c r="K491" s="4" t="s">
        <v>994</v>
      </c>
      <c r="L491" s="3">
        <v>46185.84468155092</v>
      </c>
      <c r="M491" s="2" t="s">
        <v>995</v>
      </c>
      <c r="N491" s="29"/>
      <c r="O491" s="29"/>
      <c r="Q491" s="2" t="s">
        <v>996</v>
      </c>
      <c r="R491" s="2" t="s">
        <v>997</v>
      </c>
      <c r="S491" s="4">
        <v>2024.0</v>
      </c>
      <c r="T491" s="30"/>
      <c r="U491" s="2" t="s">
        <v>998</v>
      </c>
    </row>
    <row r="492">
      <c r="A492" s="2" t="s">
        <v>1709</v>
      </c>
      <c r="B492" s="2" t="s">
        <v>17</v>
      </c>
      <c r="C492" s="4">
        <v>2024.0</v>
      </c>
      <c r="D492" s="4">
        <v>12.0</v>
      </c>
      <c r="E492" s="29"/>
      <c r="F492" s="4">
        <v>2.0</v>
      </c>
      <c r="G492" s="2" t="s">
        <v>602</v>
      </c>
      <c r="H492" s="5" t="s">
        <v>233</v>
      </c>
      <c r="I492" s="2" t="s">
        <v>932</v>
      </c>
      <c r="J492" s="5">
        <v>3500000.0</v>
      </c>
      <c r="K492" s="4" t="s">
        <v>994</v>
      </c>
      <c r="L492" s="3">
        <v>46185.84468155092</v>
      </c>
      <c r="M492" s="2" t="s">
        <v>995</v>
      </c>
      <c r="N492" s="29"/>
      <c r="O492" s="29"/>
      <c r="Q492" s="2" t="s">
        <v>996</v>
      </c>
      <c r="R492" s="2" t="s">
        <v>997</v>
      </c>
      <c r="S492" s="4">
        <v>2024.0</v>
      </c>
      <c r="T492" s="30"/>
      <c r="U492" s="2" t="s">
        <v>998</v>
      </c>
    </row>
    <row r="493">
      <c r="A493" s="2" t="s">
        <v>1710</v>
      </c>
      <c r="B493" s="2" t="s">
        <v>17</v>
      </c>
      <c r="C493" s="4">
        <v>2024.0</v>
      </c>
      <c r="D493" s="4">
        <v>12.0</v>
      </c>
      <c r="E493" s="29"/>
      <c r="F493" s="4">
        <v>2.0</v>
      </c>
      <c r="G493" s="2" t="s">
        <v>602</v>
      </c>
      <c r="H493" s="5" t="s">
        <v>793</v>
      </c>
      <c r="I493" s="2" t="s">
        <v>932</v>
      </c>
      <c r="J493" s="5">
        <v>4520000.0</v>
      </c>
      <c r="K493" s="4" t="s">
        <v>994</v>
      </c>
      <c r="L493" s="3">
        <v>46185.84468155092</v>
      </c>
      <c r="M493" s="2" t="s">
        <v>995</v>
      </c>
      <c r="N493" s="29"/>
      <c r="O493" s="29"/>
      <c r="Q493" s="2" t="s">
        <v>996</v>
      </c>
      <c r="R493" s="2" t="s">
        <v>997</v>
      </c>
      <c r="S493" s="4">
        <v>2024.0</v>
      </c>
      <c r="T493" s="30"/>
      <c r="U493" s="2" t="s">
        <v>998</v>
      </c>
    </row>
    <row r="494">
      <c r="A494" s="2" t="s">
        <v>1711</v>
      </c>
      <c r="B494" s="2" t="s">
        <v>17</v>
      </c>
      <c r="C494" s="4">
        <v>2024.0</v>
      </c>
      <c r="D494" s="4">
        <v>12.0</v>
      </c>
      <c r="E494" s="29"/>
      <c r="F494" s="4">
        <v>2.0</v>
      </c>
      <c r="G494" s="2" t="s">
        <v>602</v>
      </c>
      <c r="H494" s="5" t="s">
        <v>935</v>
      </c>
      <c r="I494" s="2" t="s">
        <v>932</v>
      </c>
      <c r="J494" s="5">
        <v>475000.0</v>
      </c>
      <c r="K494" s="4" t="s">
        <v>994</v>
      </c>
      <c r="L494" s="3">
        <v>46185.84468155092</v>
      </c>
      <c r="M494" s="2" t="s">
        <v>995</v>
      </c>
      <c r="N494" s="29"/>
      <c r="O494" s="29"/>
      <c r="Q494" s="2" t="s">
        <v>996</v>
      </c>
      <c r="R494" s="2" t="s">
        <v>997</v>
      </c>
      <c r="S494" s="4">
        <v>2024.0</v>
      </c>
      <c r="T494" s="30"/>
      <c r="U494" s="2" t="s">
        <v>998</v>
      </c>
    </row>
  </sheetData>
  <autoFilter ref="$A$1:$U$494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563EB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hidden="1" min="1" max="1" width="22.25"/>
    <col customWidth="1" min="2" max="2" width="8.0"/>
    <col customWidth="1" min="3" max="4" width="12.0"/>
    <col customWidth="1" min="5" max="5" width="12.38"/>
    <col customWidth="1" min="6" max="6" width="10.38"/>
    <col customWidth="1" min="7" max="8" width="18.88"/>
    <col customWidth="1" min="9" max="9" width="9.13"/>
    <col customWidth="1" min="10" max="10" width="12.63"/>
    <col customWidth="1" min="11" max="11" width="12.25"/>
    <col customWidth="1" hidden="1" min="12" max="12" width="18.13"/>
    <col customWidth="1" hidden="1" min="13" max="13" width="11.88"/>
    <col customWidth="1" hidden="1" min="14" max="14" width="39.5"/>
    <col customWidth="1" hidden="1" min="15" max="15" width="11.13"/>
    <col customWidth="1" hidden="1" min="16" max="16" width="11.5"/>
    <col customWidth="1" hidden="1" min="17" max="17" width="12.0"/>
    <col customWidth="1" hidden="1" min="18" max="18" width="9.63"/>
    <col customWidth="1" hidden="1" min="19" max="20" width="12.13"/>
    <col customWidth="1" hidden="1" min="21" max="22" width="12.0"/>
  </cols>
  <sheetData>
    <row r="1">
      <c r="A1" s="28" t="s">
        <v>0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13</v>
      </c>
      <c r="G1" s="28" t="s">
        <v>804</v>
      </c>
      <c r="H1" s="28" t="s">
        <v>10</v>
      </c>
      <c r="I1" s="28" t="s">
        <v>9</v>
      </c>
      <c r="J1" s="28" t="s">
        <v>805</v>
      </c>
      <c r="K1" s="28" t="s">
        <v>806</v>
      </c>
      <c r="L1" s="28" t="s">
        <v>12</v>
      </c>
      <c r="M1" s="28" t="s">
        <v>143</v>
      </c>
      <c r="N1" s="28" t="s">
        <v>144</v>
      </c>
      <c r="O1" s="28" t="s">
        <v>1</v>
      </c>
      <c r="P1" s="28" t="s">
        <v>2</v>
      </c>
      <c r="Q1" s="28" t="s">
        <v>11</v>
      </c>
      <c r="R1" s="28" t="s">
        <v>14</v>
      </c>
      <c r="S1" s="28" t="s">
        <v>942</v>
      </c>
      <c r="T1" s="28" t="s">
        <v>145</v>
      </c>
      <c r="U1" s="28" t="s">
        <v>146</v>
      </c>
      <c r="V1" s="28" t="s">
        <v>147</v>
      </c>
    </row>
    <row r="2">
      <c r="A2" s="2" t="s">
        <v>1712</v>
      </c>
      <c r="B2" s="2" t="s">
        <v>17</v>
      </c>
      <c r="C2" s="4">
        <v>2025.0</v>
      </c>
      <c r="D2" s="4">
        <v>3.0</v>
      </c>
      <c r="E2" s="3">
        <v>46099.0</v>
      </c>
      <c r="F2" s="4">
        <v>2.0</v>
      </c>
      <c r="G2" s="2" t="s">
        <v>205</v>
      </c>
      <c r="H2" s="2" t="s">
        <v>205</v>
      </c>
      <c r="I2" s="5">
        <v>2.5E7</v>
      </c>
      <c r="L2" s="4" t="s">
        <v>945</v>
      </c>
      <c r="M2" s="3">
        <v>46183.42285879629</v>
      </c>
      <c r="N2" s="2" t="s">
        <v>946</v>
      </c>
      <c r="O2" s="29"/>
      <c r="P2" s="29"/>
      <c r="T2" s="30"/>
      <c r="U2" s="30"/>
    </row>
    <row r="3">
      <c r="A3" s="2" t="s">
        <v>1713</v>
      </c>
      <c r="B3" s="2" t="s">
        <v>17</v>
      </c>
      <c r="C3" s="4">
        <v>2025.0</v>
      </c>
      <c r="D3" s="4">
        <v>5.0</v>
      </c>
      <c r="E3" s="3">
        <v>46134.0</v>
      </c>
      <c r="F3" s="4">
        <v>1.0</v>
      </c>
      <c r="G3" s="2" t="s">
        <v>808</v>
      </c>
      <c r="H3" s="2" t="s">
        <v>172</v>
      </c>
      <c r="I3" s="5">
        <v>2.1E7</v>
      </c>
      <c r="L3" s="4" t="s">
        <v>945</v>
      </c>
      <c r="M3" s="3">
        <v>46183.42285879629</v>
      </c>
      <c r="N3" s="2" t="s">
        <v>946</v>
      </c>
      <c r="O3" s="29"/>
      <c r="P3" s="29"/>
      <c r="T3" s="30"/>
      <c r="U3" s="30"/>
    </row>
    <row r="4">
      <c r="A4" s="2" t="s">
        <v>1714</v>
      </c>
      <c r="B4" s="2" t="s">
        <v>17</v>
      </c>
      <c r="C4" s="4">
        <v>2025.0</v>
      </c>
      <c r="D4" s="4">
        <v>5.0</v>
      </c>
      <c r="E4" s="3">
        <v>46134.0</v>
      </c>
      <c r="F4" s="4">
        <v>1.0</v>
      </c>
      <c r="G4" s="2" t="s">
        <v>205</v>
      </c>
      <c r="H4" s="2" t="s">
        <v>205</v>
      </c>
      <c r="I4" s="5">
        <v>2.9E7</v>
      </c>
      <c r="L4" s="4" t="s">
        <v>945</v>
      </c>
      <c r="M4" s="3">
        <v>46183.42285879629</v>
      </c>
      <c r="N4" s="2" t="s">
        <v>946</v>
      </c>
      <c r="O4" s="29"/>
      <c r="P4" s="29"/>
      <c r="T4" s="30"/>
      <c r="U4" s="30"/>
    </row>
    <row r="5">
      <c r="A5" s="2" t="s">
        <v>1715</v>
      </c>
      <c r="B5" s="2" t="s">
        <v>17</v>
      </c>
      <c r="C5" s="4">
        <v>2025.0</v>
      </c>
      <c r="D5" s="4">
        <v>5.0</v>
      </c>
      <c r="E5" s="3">
        <v>46148.0</v>
      </c>
      <c r="F5" s="4">
        <v>2.0</v>
      </c>
      <c r="G5" s="2" t="s">
        <v>808</v>
      </c>
      <c r="H5" s="2" t="s">
        <v>172</v>
      </c>
      <c r="I5" s="5">
        <v>5282480.0</v>
      </c>
      <c r="L5" s="4" t="s">
        <v>945</v>
      </c>
      <c r="M5" s="3">
        <v>46183.42285879629</v>
      </c>
      <c r="N5" s="2" t="s">
        <v>946</v>
      </c>
      <c r="O5" s="29"/>
      <c r="P5" s="29"/>
      <c r="T5" s="30"/>
      <c r="U5" s="30"/>
    </row>
    <row r="6">
      <c r="A6" s="2" t="s">
        <v>1716</v>
      </c>
      <c r="B6" s="2" t="s">
        <v>17</v>
      </c>
      <c r="C6" s="4">
        <v>2025.0</v>
      </c>
      <c r="D6" s="4">
        <v>5.0</v>
      </c>
      <c r="E6" s="3">
        <v>46148.0</v>
      </c>
      <c r="F6" s="4">
        <v>2.0</v>
      </c>
      <c r="G6" s="2" t="s">
        <v>816</v>
      </c>
      <c r="H6" s="2" t="s">
        <v>195</v>
      </c>
      <c r="I6" s="5">
        <v>1897080.0</v>
      </c>
      <c r="L6" s="4" t="s">
        <v>945</v>
      </c>
      <c r="M6" s="3">
        <v>46183.42285879629</v>
      </c>
      <c r="N6" s="2" t="s">
        <v>946</v>
      </c>
      <c r="O6" s="29"/>
      <c r="P6" s="29"/>
      <c r="T6" s="30"/>
      <c r="U6" s="30"/>
    </row>
    <row r="7">
      <c r="A7" s="2" t="s">
        <v>1717</v>
      </c>
      <c r="B7" s="2" t="s">
        <v>17</v>
      </c>
      <c r="C7" s="4">
        <v>2025.0</v>
      </c>
      <c r="D7" s="4">
        <v>6.0</v>
      </c>
      <c r="E7" s="3">
        <v>46187.0</v>
      </c>
      <c r="F7" s="4">
        <v>1.0</v>
      </c>
      <c r="G7" s="2" t="s">
        <v>166</v>
      </c>
      <c r="H7" s="2" t="s">
        <v>166</v>
      </c>
      <c r="I7" s="5">
        <v>7300000.0</v>
      </c>
      <c r="L7" s="4" t="s">
        <v>945</v>
      </c>
      <c r="M7" s="3">
        <v>46183.42285879629</v>
      </c>
      <c r="N7" s="2" t="s">
        <v>946</v>
      </c>
      <c r="O7" s="29"/>
      <c r="P7" s="29"/>
      <c r="T7" s="30"/>
      <c r="U7" s="30"/>
    </row>
    <row r="8">
      <c r="A8" s="2" t="s">
        <v>1718</v>
      </c>
      <c r="B8" s="2" t="s">
        <v>17</v>
      </c>
      <c r="C8" s="4">
        <v>2025.0</v>
      </c>
      <c r="D8" s="4">
        <v>6.0</v>
      </c>
      <c r="E8" s="3">
        <v>46201.0</v>
      </c>
      <c r="F8" s="4">
        <v>2.0</v>
      </c>
      <c r="G8" s="2" t="s">
        <v>166</v>
      </c>
      <c r="H8" s="2" t="s">
        <v>166</v>
      </c>
      <c r="I8" s="5">
        <v>1500000.0</v>
      </c>
      <c r="L8" s="4" t="s">
        <v>945</v>
      </c>
      <c r="M8" s="3">
        <v>46183.42285879629</v>
      </c>
      <c r="N8" s="2" t="s">
        <v>946</v>
      </c>
      <c r="O8" s="29"/>
      <c r="P8" s="29"/>
      <c r="T8" s="30"/>
      <c r="U8" s="30"/>
    </row>
    <row r="9">
      <c r="A9" s="2" t="s">
        <v>1719</v>
      </c>
      <c r="B9" s="2" t="s">
        <v>17</v>
      </c>
      <c r="C9" s="4">
        <v>2025.0</v>
      </c>
      <c r="D9" s="4">
        <v>6.0</v>
      </c>
      <c r="E9" s="3">
        <v>46201.0</v>
      </c>
      <c r="F9" s="4">
        <v>2.0</v>
      </c>
      <c r="G9" s="2" t="s">
        <v>816</v>
      </c>
      <c r="H9" s="2" t="s">
        <v>195</v>
      </c>
      <c r="I9" s="5">
        <v>6300000.0</v>
      </c>
      <c r="L9" s="4" t="s">
        <v>945</v>
      </c>
      <c r="M9" s="3">
        <v>46183.42285879629</v>
      </c>
      <c r="N9" s="2" t="s">
        <v>946</v>
      </c>
      <c r="O9" s="29"/>
      <c r="P9" s="29"/>
      <c r="T9" s="30"/>
      <c r="U9" s="30"/>
    </row>
    <row r="10">
      <c r="A10" s="2" t="s">
        <v>1720</v>
      </c>
      <c r="B10" s="2" t="s">
        <v>17</v>
      </c>
      <c r="C10" s="4">
        <v>2025.0</v>
      </c>
      <c r="D10" s="4">
        <v>7.0</v>
      </c>
      <c r="E10" s="3">
        <v>46213.0</v>
      </c>
      <c r="F10" s="4">
        <v>1.0</v>
      </c>
      <c r="G10" s="2" t="s">
        <v>166</v>
      </c>
      <c r="H10" s="2" t="s">
        <v>166</v>
      </c>
      <c r="I10" s="5">
        <v>4000000.0</v>
      </c>
      <c r="L10" s="4" t="s">
        <v>945</v>
      </c>
      <c r="M10" s="3">
        <v>46183.42285879629</v>
      </c>
      <c r="N10" s="2" t="s">
        <v>946</v>
      </c>
      <c r="O10" s="29"/>
      <c r="P10" s="29"/>
      <c r="T10" s="30"/>
      <c r="U10" s="30"/>
    </row>
    <row r="11">
      <c r="A11" s="2" t="s">
        <v>1721</v>
      </c>
      <c r="B11" s="2" t="s">
        <v>17</v>
      </c>
      <c r="C11" s="4">
        <v>2025.0</v>
      </c>
      <c r="D11" s="4">
        <v>7.0</v>
      </c>
      <c r="E11" s="3">
        <v>46226.0</v>
      </c>
      <c r="F11" s="4">
        <v>2.0</v>
      </c>
      <c r="G11" s="2" t="s">
        <v>808</v>
      </c>
      <c r="H11" s="2" t="s">
        <v>172</v>
      </c>
      <c r="I11" s="5">
        <v>6726150.0</v>
      </c>
      <c r="L11" s="4" t="s">
        <v>945</v>
      </c>
      <c r="M11" s="3">
        <v>46183.42285879629</v>
      </c>
      <c r="N11" s="2" t="s">
        <v>946</v>
      </c>
      <c r="O11" s="29"/>
      <c r="P11" s="29"/>
      <c r="T11" s="30"/>
      <c r="U11" s="30"/>
    </row>
    <row r="12">
      <c r="A12" s="2" t="s">
        <v>1722</v>
      </c>
      <c r="B12" s="2" t="s">
        <v>17</v>
      </c>
      <c r="C12" s="4">
        <v>2025.0</v>
      </c>
      <c r="D12" s="4">
        <v>7.0</v>
      </c>
      <c r="E12" s="3">
        <v>46226.0</v>
      </c>
      <c r="F12" s="4">
        <v>2.0</v>
      </c>
      <c r="G12" s="2" t="s">
        <v>166</v>
      </c>
      <c r="H12" s="2" t="s">
        <v>166</v>
      </c>
      <c r="I12" s="5">
        <v>1000000.0</v>
      </c>
      <c r="L12" s="4" t="s">
        <v>945</v>
      </c>
      <c r="M12" s="3">
        <v>46183.42285879629</v>
      </c>
      <c r="N12" s="2" t="s">
        <v>946</v>
      </c>
      <c r="O12" s="29"/>
      <c r="P12" s="29"/>
      <c r="T12" s="30"/>
      <c r="U12" s="30"/>
    </row>
    <row r="13">
      <c r="A13" s="2" t="s">
        <v>1723</v>
      </c>
      <c r="B13" s="2" t="s">
        <v>17</v>
      </c>
      <c r="C13" s="4">
        <v>2025.0</v>
      </c>
      <c r="D13" s="4">
        <v>7.0</v>
      </c>
      <c r="E13" s="3">
        <v>46226.0</v>
      </c>
      <c r="F13" s="4">
        <v>2.0</v>
      </c>
      <c r="G13" s="2" t="s">
        <v>816</v>
      </c>
      <c r="H13" s="2" t="s">
        <v>195</v>
      </c>
      <c r="I13" s="5">
        <v>5400000.0</v>
      </c>
      <c r="L13" s="4" t="s">
        <v>945</v>
      </c>
      <c r="M13" s="3">
        <v>46183.42285879629</v>
      </c>
      <c r="N13" s="2" t="s">
        <v>946</v>
      </c>
      <c r="O13" s="29"/>
      <c r="P13" s="29"/>
      <c r="T13" s="30"/>
      <c r="U13" s="30"/>
    </row>
    <row r="14">
      <c r="A14" s="2" t="s">
        <v>1724</v>
      </c>
      <c r="B14" s="2" t="s">
        <v>17</v>
      </c>
      <c r="C14" s="4">
        <v>2025.0</v>
      </c>
      <c r="D14" s="4">
        <v>7.0</v>
      </c>
      <c r="E14" s="3">
        <v>46226.0</v>
      </c>
      <c r="F14" s="4">
        <v>2.0</v>
      </c>
      <c r="G14" s="2" t="s">
        <v>205</v>
      </c>
      <c r="H14" s="2" t="s">
        <v>205</v>
      </c>
      <c r="I14" s="5">
        <v>4.0E7</v>
      </c>
      <c r="L14" s="4" t="s">
        <v>945</v>
      </c>
      <c r="M14" s="3">
        <v>46183.42285879629</v>
      </c>
      <c r="N14" s="2" t="s">
        <v>946</v>
      </c>
      <c r="O14" s="29"/>
      <c r="P14" s="29"/>
      <c r="T14" s="30"/>
      <c r="U14" s="30"/>
    </row>
    <row r="15">
      <c r="A15" s="2" t="s">
        <v>1725</v>
      </c>
      <c r="B15" s="2" t="s">
        <v>17</v>
      </c>
      <c r="C15" s="4">
        <v>2025.0</v>
      </c>
      <c r="D15" s="4">
        <v>8.0</v>
      </c>
      <c r="E15" s="3">
        <v>46240.0</v>
      </c>
      <c r="F15" s="4">
        <v>1.0</v>
      </c>
      <c r="G15" s="2" t="s">
        <v>808</v>
      </c>
      <c r="H15" s="2" t="s">
        <v>172</v>
      </c>
      <c r="I15" s="5">
        <v>6000000.0</v>
      </c>
      <c r="L15" s="4" t="s">
        <v>945</v>
      </c>
      <c r="M15" s="3">
        <v>46183.42285879629</v>
      </c>
      <c r="N15" s="2" t="s">
        <v>946</v>
      </c>
      <c r="O15" s="29"/>
      <c r="P15" s="29"/>
      <c r="T15" s="30"/>
      <c r="U15" s="30"/>
    </row>
    <row r="16">
      <c r="A16" s="2" t="s">
        <v>1726</v>
      </c>
      <c r="B16" s="2" t="s">
        <v>17</v>
      </c>
      <c r="C16" s="4">
        <v>2025.0</v>
      </c>
      <c r="D16" s="4">
        <v>8.0</v>
      </c>
      <c r="E16" s="3">
        <v>46240.0</v>
      </c>
      <c r="F16" s="4">
        <v>1.0</v>
      </c>
      <c r="G16" s="2" t="s">
        <v>166</v>
      </c>
      <c r="H16" s="2" t="s">
        <v>166</v>
      </c>
      <c r="I16" s="5">
        <v>5500000.0</v>
      </c>
      <c r="L16" s="4" t="s">
        <v>945</v>
      </c>
      <c r="M16" s="3">
        <v>46183.42285879629</v>
      </c>
      <c r="N16" s="2" t="s">
        <v>946</v>
      </c>
      <c r="O16" s="29"/>
      <c r="P16" s="29"/>
      <c r="T16" s="30"/>
      <c r="U16" s="30"/>
    </row>
    <row r="17">
      <c r="A17" s="2" t="s">
        <v>1727</v>
      </c>
      <c r="B17" s="2" t="s">
        <v>17</v>
      </c>
      <c r="C17" s="4">
        <v>2025.0</v>
      </c>
      <c r="D17" s="4">
        <v>8.0</v>
      </c>
      <c r="E17" s="3">
        <v>46240.0</v>
      </c>
      <c r="F17" s="4">
        <v>1.0</v>
      </c>
      <c r="G17" s="2" t="s">
        <v>205</v>
      </c>
      <c r="H17" s="2" t="s">
        <v>205</v>
      </c>
      <c r="I17" s="5">
        <v>3.8E7</v>
      </c>
      <c r="L17" s="4" t="s">
        <v>945</v>
      </c>
      <c r="M17" s="3">
        <v>46183.42285879629</v>
      </c>
      <c r="N17" s="2" t="s">
        <v>946</v>
      </c>
      <c r="O17" s="29"/>
      <c r="P17" s="29"/>
      <c r="T17" s="30"/>
      <c r="U17" s="30"/>
    </row>
    <row r="18">
      <c r="A18" s="2" t="s">
        <v>1728</v>
      </c>
      <c r="B18" s="2" t="s">
        <v>17</v>
      </c>
      <c r="C18" s="4">
        <v>2025.0</v>
      </c>
      <c r="D18" s="4">
        <v>8.0</v>
      </c>
      <c r="E18" s="3">
        <v>46253.0</v>
      </c>
      <c r="F18" s="4">
        <v>2.0</v>
      </c>
      <c r="G18" s="2" t="s">
        <v>808</v>
      </c>
      <c r="H18" s="2" t="s">
        <v>172</v>
      </c>
      <c r="I18" s="5">
        <v>1.037574E7</v>
      </c>
      <c r="L18" s="4" t="s">
        <v>945</v>
      </c>
      <c r="M18" s="3">
        <v>46183.42285879629</v>
      </c>
      <c r="N18" s="2" t="s">
        <v>946</v>
      </c>
      <c r="O18" s="29"/>
      <c r="P18" s="29"/>
      <c r="T18" s="30"/>
      <c r="U18" s="30"/>
    </row>
    <row r="19">
      <c r="A19" s="2" t="s">
        <v>1729</v>
      </c>
      <c r="B19" s="2" t="s">
        <v>17</v>
      </c>
      <c r="C19" s="4">
        <v>2025.0</v>
      </c>
      <c r="D19" s="4">
        <v>8.0</v>
      </c>
      <c r="E19" s="3">
        <v>46253.0</v>
      </c>
      <c r="F19" s="4">
        <v>2.0</v>
      </c>
      <c r="G19" s="2" t="s">
        <v>166</v>
      </c>
      <c r="H19" s="2" t="s">
        <v>166</v>
      </c>
      <c r="I19" s="5">
        <v>1500000.0</v>
      </c>
      <c r="L19" s="4" t="s">
        <v>945</v>
      </c>
      <c r="M19" s="3">
        <v>46183.42285879629</v>
      </c>
      <c r="N19" s="2" t="s">
        <v>946</v>
      </c>
      <c r="O19" s="29"/>
      <c r="P19" s="29"/>
      <c r="T19" s="30"/>
      <c r="U19" s="30"/>
    </row>
    <row r="20">
      <c r="A20" s="2" t="s">
        <v>1730</v>
      </c>
      <c r="B20" s="2" t="s">
        <v>17</v>
      </c>
      <c r="C20" s="4">
        <v>2025.0</v>
      </c>
      <c r="D20" s="4">
        <v>8.0</v>
      </c>
      <c r="E20" s="3">
        <v>46253.0</v>
      </c>
      <c r="F20" s="4">
        <v>2.0</v>
      </c>
      <c r="G20" s="2" t="s">
        <v>816</v>
      </c>
      <c r="H20" s="2" t="s">
        <v>195</v>
      </c>
      <c r="I20" s="5">
        <v>4000000.0</v>
      </c>
      <c r="L20" s="4" t="s">
        <v>945</v>
      </c>
      <c r="M20" s="3">
        <v>46183.42285879629</v>
      </c>
      <c r="N20" s="2" t="s">
        <v>946</v>
      </c>
      <c r="O20" s="29"/>
      <c r="P20" s="29"/>
      <c r="T20" s="30"/>
      <c r="U20" s="30"/>
    </row>
    <row r="21">
      <c r="A21" s="2" t="s">
        <v>1731</v>
      </c>
      <c r="B21" s="2" t="s">
        <v>17</v>
      </c>
      <c r="C21" s="4">
        <v>2025.0</v>
      </c>
      <c r="D21" s="4">
        <v>8.0</v>
      </c>
      <c r="E21" s="3">
        <v>46253.0</v>
      </c>
      <c r="F21" s="4">
        <v>2.0</v>
      </c>
      <c r="G21" s="2" t="s">
        <v>205</v>
      </c>
      <c r="H21" s="2" t="s">
        <v>205</v>
      </c>
      <c r="I21" s="5">
        <v>3.5E7</v>
      </c>
      <c r="L21" s="4" t="s">
        <v>945</v>
      </c>
      <c r="M21" s="3">
        <v>46183.42285879629</v>
      </c>
      <c r="N21" s="2" t="s">
        <v>946</v>
      </c>
      <c r="O21" s="29"/>
      <c r="P21" s="29"/>
      <c r="T21" s="30"/>
      <c r="U21" s="30"/>
    </row>
    <row r="22">
      <c r="A22" s="2" t="s">
        <v>1732</v>
      </c>
      <c r="B22" s="2" t="s">
        <v>17</v>
      </c>
      <c r="C22" s="4">
        <v>2025.0</v>
      </c>
      <c r="D22" s="4">
        <v>9.0</v>
      </c>
      <c r="E22" s="3">
        <v>46267.0</v>
      </c>
      <c r="F22" s="4">
        <v>1.0</v>
      </c>
      <c r="G22" s="2" t="s">
        <v>808</v>
      </c>
      <c r="H22" s="2" t="s">
        <v>172</v>
      </c>
      <c r="I22" s="5">
        <v>6000000.0</v>
      </c>
      <c r="L22" s="4" t="s">
        <v>945</v>
      </c>
      <c r="M22" s="3">
        <v>46183.42285879629</v>
      </c>
      <c r="N22" s="2" t="s">
        <v>946</v>
      </c>
      <c r="O22" s="29"/>
      <c r="P22" s="29"/>
      <c r="T22" s="30"/>
      <c r="U22" s="30"/>
    </row>
    <row r="23">
      <c r="A23" s="2" t="s">
        <v>1733</v>
      </c>
      <c r="B23" s="2" t="s">
        <v>17</v>
      </c>
      <c r="C23" s="4">
        <v>2025.0</v>
      </c>
      <c r="D23" s="4">
        <v>9.0</v>
      </c>
      <c r="E23" s="3">
        <v>46267.0</v>
      </c>
      <c r="F23" s="4">
        <v>1.0</v>
      </c>
      <c r="G23" s="2" t="s">
        <v>166</v>
      </c>
      <c r="H23" s="2" t="s">
        <v>166</v>
      </c>
      <c r="I23" s="5">
        <v>5500000.0</v>
      </c>
      <c r="L23" s="4" t="s">
        <v>945</v>
      </c>
      <c r="M23" s="3">
        <v>46183.42285879629</v>
      </c>
      <c r="N23" s="2" t="s">
        <v>946</v>
      </c>
      <c r="O23" s="29"/>
      <c r="P23" s="29"/>
      <c r="T23" s="30"/>
      <c r="U23" s="30"/>
    </row>
    <row r="24">
      <c r="A24" s="2" t="s">
        <v>1734</v>
      </c>
      <c r="B24" s="2" t="s">
        <v>17</v>
      </c>
      <c r="C24" s="4">
        <v>2025.0</v>
      </c>
      <c r="D24" s="4">
        <v>9.0</v>
      </c>
      <c r="E24" s="3">
        <v>46267.0</v>
      </c>
      <c r="F24" s="4">
        <v>1.0</v>
      </c>
      <c r="G24" s="2" t="s">
        <v>205</v>
      </c>
      <c r="H24" s="2" t="s">
        <v>205</v>
      </c>
      <c r="I24" s="5">
        <v>4.0E7</v>
      </c>
      <c r="L24" s="4" t="s">
        <v>945</v>
      </c>
      <c r="M24" s="3">
        <v>46183.42285879629</v>
      </c>
      <c r="N24" s="2" t="s">
        <v>946</v>
      </c>
      <c r="O24" s="29"/>
      <c r="P24" s="29"/>
      <c r="T24" s="30"/>
      <c r="U24" s="30"/>
    </row>
    <row r="25">
      <c r="A25" s="2" t="s">
        <v>1735</v>
      </c>
      <c r="B25" s="2" t="s">
        <v>17</v>
      </c>
      <c r="C25" s="4">
        <v>2025.0</v>
      </c>
      <c r="D25" s="4">
        <v>9.0</v>
      </c>
      <c r="E25" s="3">
        <v>46281.0</v>
      </c>
      <c r="F25" s="4">
        <v>2.0</v>
      </c>
      <c r="G25" s="2" t="s">
        <v>808</v>
      </c>
      <c r="H25" s="2" t="s">
        <v>172</v>
      </c>
      <c r="I25" s="5">
        <v>1725610.0</v>
      </c>
      <c r="L25" s="4" t="s">
        <v>945</v>
      </c>
      <c r="M25" s="3">
        <v>46183.42285879629</v>
      </c>
      <c r="N25" s="2" t="s">
        <v>946</v>
      </c>
      <c r="O25" s="29"/>
      <c r="P25" s="29"/>
      <c r="T25" s="30"/>
      <c r="U25" s="30"/>
    </row>
    <row r="26">
      <c r="A26" s="2" t="s">
        <v>1736</v>
      </c>
      <c r="B26" s="2" t="s">
        <v>17</v>
      </c>
      <c r="C26" s="4">
        <v>2025.0</v>
      </c>
      <c r="D26" s="4">
        <v>9.0</v>
      </c>
      <c r="E26" s="3">
        <v>46281.0</v>
      </c>
      <c r="F26" s="4">
        <v>2.0</v>
      </c>
      <c r="G26" s="2" t="s">
        <v>816</v>
      </c>
      <c r="H26" s="2" t="s">
        <v>195</v>
      </c>
      <c r="I26" s="5">
        <v>4500000.0</v>
      </c>
      <c r="L26" s="4" t="s">
        <v>945</v>
      </c>
      <c r="M26" s="3">
        <v>46183.42285879629</v>
      </c>
      <c r="N26" s="2" t="s">
        <v>946</v>
      </c>
      <c r="O26" s="29"/>
      <c r="P26" s="29"/>
      <c r="T26" s="30"/>
      <c r="U26" s="30"/>
    </row>
    <row r="27">
      <c r="A27" s="2" t="s">
        <v>1737</v>
      </c>
      <c r="B27" s="2" t="s">
        <v>17</v>
      </c>
      <c r="C27" s="4">
        <v>2025.0</v>
      </c>
      <c r="D27" s="4">
        <v>9.0</v>
      </c>
      <c r="E27" s="3">
        <v>46281.0</v>
      </c>
      <c r="F27" s="4">
        <v>2.0</v>
      </c>
      <c r="G27" s="2" t="s">
        <v>205</v>
      </c>
      <c r="H27" s="2" t="s">
        <v>205</v>
      </c>
      <c r="I27" s="5">
        <v>3.7E7</v>
      </c>
      <c r="L27" s="4" t="s">
        <v>945</v>
      </c>
      <c r="M27" s="3">
        <v>46183.42285879629</v>
      </c>
      <c r="N27" s="2" t="s">
        <v>946</v>
      </c>
      <c r="O27" s="29"/>
      <c r="P27" s="29"/>
      <c r="T27" s="30"/>
      <c r="U27" s="30"/>
    </row>
    <row r="28">
      <c r="A28" s="2" t="s">
        <v>1738</v>
      </c>
      <c r="B28" s="2" t="s">
        <v>17</v>
      </c>
      <c r="C28" s="4">
        <v>2025.0</v>
      </c>
      <c r="D28" s="4">
        <v>10.0</v>
      </c>
      <c r="E28" s="3">
        <v>46295.0</v>
      </c>
      <c r="F28" s="4">
        <v>1.0</v>
      </c>
      <c r="G28" s="2" t="s">
        <v>808</v>
      </c>
      <c r="H28" s="2" t="s">
        <v>172</v>
      </c>
      <c r="I28" s="5">
        <v>1.6E7</v>
      </c>
      <c r="L28" s="4" t="s">
        <v>945</v>
      </c>
      <c r="M28" s="3">
        <v>46183.42285879629</v>
      </c>
      <c r="N28" s="2" t="s">
        <v>946</v>
      </c>
      <c r="O28" s="29"/>
      <c r="P28" s="29"/>
      <c r="T28" s="30"/>
      <c r="U28" s="30"/>
    </row>
    <row r="29">
      <c r="A29" s="2" t="s">
        <v>1739</v>
      </c>
      <c r="B29" s="2" t="s">
        <v>17</v>
      </c>
      <c r="C29" s="4">
        <v>2025.0</v>
      </c>
      <c r="D29" s="4">
        <v>10.0</v>
      </c>
      <c r="E29" s="3">
        <v>46295.0</v>
      </c>
      <c r="F29" s="4">
        <v>1.0</v>
      </c>
      <c r="G29" s="2" t="s">
        <v>166</v>
      </c>
      <c r="H29" s="2" t="s">
        <v>166</v>
      </c>
      <c r="I29" s="5">
        <v>5800000.0</v>
      </c>
      <c r="L29" s="4" t="s">
        <v>945</v>
      </c>
      <c r="M29" s="3">
        <v>46183.42285879629</v>
      </c>
      <c r="N29" s="2" t="s">
        <v>946</v>
      </c>
      <c r="O29" s="29"/>
      <c r="P29" s="29"/>
      <c r="T29" s="30"/>
      <c r="U29" s="30"/>
    </row>
    <row r="30">
      <c r="A30" s="2" t="s">
        <v>1740</v>
      </c>
      <c r="B30" s="2" t="s">
        <v>17</v>
      </c>
      <c r="C30" s="4">
        <v>2025.0</v>
      </c>
      <c r="D30" s="4">
        <v>10.0</v>
      </c>
      <c r="E30" s="3">
        <v>46295.0</v>
      </c>
      <c r="F30" s="4">
        <v>1.0</v>
      </c>
      <c r="G30" s="2" t="s">
        <v>205</v>
      </c>
      <c r="H30" s="2" t="s">
        <v>205</v>
      </c>
      <c r="I30" s="5">
        <v>5.0E7</v>
      </c>
      <c r="L30" s="4" t="s">
        <v>945</v>
      </c>
      <c r="M30" s="3">
        <v>46183.42285879629</v>
      </c>
      <c r="N30" s="2" t="s">
        <v>946</v>
      </c>
      <c r="O30" s="29"/>
      <c r="P30" s="29"/>
      <c r="T30" s="30"/>
      <c r="U30" s="30"/>
    </row>
    <row r="31">
      <c r="A31" s="2" t="s">
        <v>1741</v>
      </c>
      <c r="B31" s="2" t="s">
        <v>17</v>
      </c>
      <c r="C31" s="4">
        <v>2025.0</v>
      </c>
      <c r="D31" s="4">
        <v>10.0</v>
      </c>
      <c r="E31" s="3">
        <v>46308.0</v>
      </c>
      <c r="F31" s="4">
        <v>2.0</v>
      </c>
      <c r="G31" s="2" t="s">
        <v>808</v>
      </c>
      <c r="H31" s="2" t="s">
        <v>172</v>
      </c>
      <c r="I31" s="5">
        <v>3901450.0</v>
      </c>
      <c r="L31" s="4" t="s">
        <v>945</v>
      </c>
      <c r="M31" s="3">
        <v>46183.42285879629</v>
      </c>
      <c r="N31" s="2" t="s">
        <v>946</v>
      </c>
      <c r="O31" s="29"/>
      <c r="P31" s="29"/>
      <c r="T31" s="30"/>
      <c r="U31" s="30"/>
    </row>
    <row r="32">
      <c r="A32" s="2" t="s">
        <v>1742</v>
      </c>
      <c r="B32" s="2" t="s">
        <v>17</v>
      </c>
      <c r="C32" s="4">
        <v>2025.0</v>
      </c>
      <c r="D32" s="4">
        <v>10.0</v>
      </c>
      <c r="E32" s="3">
        <v>46308.0</v>
      </c>
      <c r="F32" s="4">
        <v>2.0</v>
      </c>
      <c r="G32" s="2" t="s">
        <v>816</v>
      </c>
      <c r="H32" s="2" t="s">
        <v>195</v>
      </c>
      <c r="I32" s="5">
        <v>6300000.0</v>
      </c>
      <c r="L32" s="4" t="s">
        <v>945</v>
      </c>
      <c r="M32" s="3">
        <v>46183.42285879629</v>
      </c>
      <c r="N32" s="2" t="s">
        <v>946</v>
      </c>
      <c r="O32" s="29"/>
      <c r="P32" s="29"/>
      <c r="T32" s="30"/>
      <c r="U32" s="30"/>
    </row>
    <row r="33">
      <c r="A33" s="2" t="s">
        <v>1743</v>
      </c>
      <c r="B33" s="2" t="s">
        <v>17</v>
      </c>
      <c r="C33" s="4">
        <v>2025.0</v>
      </c>
      <c r="D33" s="4">
        <v>11.0</v>
      </c>
      <c r="E33" s="3">
        <v>46323.0</v>
      </c>
      <c r="F33" s="4">
        <v>1.0</v>
      </c>
      <c r="G33" s="2" t="s">
        <v>808</v>
      </c>
      <c r="H33" s="2" t="s">
        <v>172</v>
      </c>
      <c r="I33" s="5">
        <v>5.4E7</v>
      </c>
      <c r="L33" s="4" t="s">
        <v>945</v>
      </c>
      <c r="M33" s="3">
        <v>46183.42285879629</v>
      </c>
      <c r="N33" s="2" t="s">
        <v>946</v>
      </c>
      <c r="O33" s="29"/>
      <c r="P33" s="29"/>
      <c r="T33" s="30"/>
      <c r="U33" s="30"/>
    </row>
    <row r="34">
      <c r="A34" s="2" t="s">
        <v>1744</v>
      </c>
      <c r="B34" s="2" t="s">
        <v>17</v>
      </c>
      <c r="C34" s="4">
        <v>2025.0</v>
      </c>
      <c r="D34" s="4">
        <v>11.0</v>
      </c>
      <c r="E34" s="3">
        <v>46323.0</v>
      </c>
      <c r="F34" s="4">
        <v>1.0</v>
      </c>
      <c r="G34" s="2" t="s">
        <v>166</v>
      </c>
      <c r="H34" s="2" t="s">
        <v>166</v>
      </c>
      <c r="I34" s="5">
        <v>6000000.0</v>
      </c>
      <c r="L34" s="4" t="s">
        <v>945</v>
      </c>
      <c r="M34" s="3">
        <v>46183.42285879629</v>
      </c>
      <c r="N34" s="2" t="s">
        <v>946</v>
      </c>
      <c r="O34" s="29"/>
      <c r="P34" s="29"/>
      <c r="T34" s="30"/>
      <c r="U34" s="30"/>
    </row>
    <row r="35">
      <c r="A35" s="2" t="s">
        <v>1745</v>
      </c>
      <c r="B35" s="2" t="s">
        <v>17</v>
      </c>
      <c r="C35" s="4">
        <v>2025.0</v>
      </c>
      <c r="D35" s="4">
        <v>11.0</v>
      </c>
      <c r="E35" s="3">
        <v>46335.0</v>
      </c>
      <c r="F35" s="4">
        <v>2.0</v>
      </c>
      <c r="G35" s="2" t="s">
        <v>808</v>
      </c>
      <c r="H35" s="2" t="s">
        <v>172</v>
      </c>
      <c r="I35" s="5">
        <v>4.667646E7</v>
      </c>
      <c r="L35" s="4" t="s">
        <v>945</v>
      </c>
      <c r="M35" s="3">
        <v>46183.42285879629</v>
      </c>
      <c r="N35" s="2" t="s">
        <v>946</v>
      </c>
      <c r="O35" s="29"/>
      <c r="P35" s="29"/>
      <c r="T35" s="30"/>
      <c r="U35" s="30"/>
    </row>
    <row r="36">
      <c r="A36" s="2" t="s">
        <v>1746</v>
      </c>
      <c r="B36" s="2" t="s">
        <v>17</v>
      </c>
      <c r="C36" s="4">
        <v>2025.0</v>
      </c>
      <c r="D36" s="4">
        <v>11.0</v>
      </c>
      <c r="E36" s="3">
        <v>46335.0</v>
      </c>
      <c r="F36" s="4">
        <v>2.0</v>
      </c>
      <c r="G36" s="2" t="s">
        <v>816</v>
      </c>
      <c r="H36" s="2" t="s">
        <v>195</v>
      </c>
      <c r="I36" s="5">
        <v>1.1E7</v>
      </c>
      <c r="L36" s="4" t="s">
        <v>945</v>
      </c>
      <c r="M36" s="3">
        <v>46183.42285879629</v>
      </c>
      <c r="N36" s="2" t="s">
        <v>946</v>
      </c>
      <c r="O36" s="29"/>
      <c r="P36" s="29"/>
      <c r="T36" s="30"/>
      <c r="U36" s="30"/>
    </row>
    <row r="37">
      <c r="A37" s="2" t="s">
        <v>1747</v>
      </c>
      <c r="B37" s="2" t="s">
        <v>17</v>
      </c>
      <c r="C37" s="4">
        <v>2025.0</v>
      </c>
      <c r="D37" s="4">
        <v>11.0</v>
      </c>
      <c r="E37" s="3">
        <v>46335.0</v>
      </c>
      <c r="F37" s="4">
        <v>2.0</v>
      </c>
      <c r="G37" s="2" t="s">
        <v>205</v>
      </c>
      <c r="H37" s="2" t="s">
        <v>205</v>
      </c>
      <c r="I37" s="5">
        <v>3.7E7</v>
      </c>
      <c r="L37" s="4" t="s">
        <v>945</v>
      </c>
      <c r="M37" s="3">
        <v>46183.42285879629</v>
      </c>
      <c r="N37" s="2" t="s">
        <v>946</v>
      </c>
      <c r="O37" s="29"/>
      <c r="P37" s="29"/>
      <c r="T37" s="30"/>
      <c r="U37" s="30"/>
    </row>
    <row r="38">
      <c r="A38" s="2" t="s">
        <v>1748</v>
      </c>
      <c r="B38" s="2" t="s">
        <v>17</v>
      </c>
      <c r="C38" s="4">
        <v>2025.0</v>
      </c>
      <c r="D38" s="4">
        <v>12.0</v>
      </c>
      <c r="E38" s="3">
        <v>46350.0</v>
      </c>
      <c r="F38" s="4">
        <v>1.0</v>
      </c>
      <c r="G38" s="2" t="s">
        <v>166</v>
      </c>
      <c r="H38" s="2" t="s">
        <v>166</v>
      </c>
      <c r="I38" s="5">
        <v>6000000.0</v>
      </c>
      <c r="L38" s="4" t="s">
        <v>945</v>
      </c>
      <c r="M38" s="3">
        <v>46183.42285879629</v>
      </c>
      <c r="N38" s="2" t="s">
        <v>946</v>
      </c>
      <c r="O38" s="29"/>
      <c r="P38" s="29"/>
      <c r="T38" s="30"/>
      <c r="U38" s="30"/>
    </row>
    <row r="39">
      <c r="A39" s="2" t="s">
        <v>1749</v>
      </c>
      <c r="B39" s="2" t="s">
        <v>17</v>
      </c>
      <c r="C39" s="4">
        <v>2025.0</v>
      </c>
      <c r="D39" s="4">
        <v>12.0</v>
      </c>
      <c r="E39" s="3">
        <v>46350.0</v>
      </c>
      <c r="F39" s="4">
        <v>1.0</v>
      </c>
      <c r="G39" s="2" t="s">
        <v>205</v>
      </c>
      <c r="H39" s="2" t="s">
        <v>205</v>
      </c>
      <c r="I39" s="5">
        <v>6.2E7</v>
      </c>
      <c r="L39" s="4" t="s">
        <v>945</v>
      </c>
      <c r="M39" s="3">
        <v>46183.42285879629</v>
      </c>
      <c r="N39" s="2" t="s">
        <v>946</v>
      </c>
      <c r="O39" s="29"/>
      <c r="P39" s="29"/>
      <c r="T39" s="30"/>
      <c r="U39" s="30"/>
    </row>
  </sheetData>
  <autoFilter ref="$A$1:$V$39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9E0B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20.5"/>
    <col customWidth="1" min="2" max="2" width="8.5"/>
    <col customWidth="1" min="3" max="3" width="11.88"/>
    <col customWidth="1" min="4" max="4" width="12.38"/>
    <col customWidth="1" min="5" max="5" width="12.25"/>
    <col customWidth="1" min="6" max="7" width="11.13"/>
    <col customWidth="1" min="8" max="8" width="8.0"/>
    <col customWidth="1" min="9" max="9" width="10.88"/>
    <col customWidth="1" min="10" max="10" width="17.38"/>
    <col customWidth="1" hidden="1" min="11" max="11" width="19.75"/>
  </cols>
  <sheetData>
    <row r="1" ht="15.0" customHeight="1">
      <c r="A1" s="31" t="s">
        <v>0</v>
      </c>
      <c r="B1" s="32" t="s">
        <v>3</v>
      </c>
      <c r="C1" s="32" t="s">
        <v>4</v>
      </c>
      <c r="D1" s="32" t="s">
        <v>5</v>
      </c>
      <c r="E1" s="32" t="s">
        <v>6</v>
      </c>
      <c r="F1" s="32" t="s">
        <v>13</v>
      </c>
      <c r="G1" s="32" t="s">
        <v>7</v>
      </c>
      <c r="H1" s="32" t="s">
        <v>8</v>
      </c>
      <c r="I1" s="32" t="s">
        <v>9</v>
      </c>
      <c r="J1" s="32" t="s">
        <v>10</v>
      </c>
      <c r="K1" s="33" t="s">
        <v>12</v>
      </c>
    </row>
    <row r="2" ht="15.0" customHeight="1">
      <c r="A2" s="34" t="s">
        <v>943</v>
      </c>
      <c r="B2" s="35" t="s">
        <v>17</v>
      </c>
      <c r="C2" s="36">
        <v>2025.0</v>
      </c>
      <c r="D2" s="36">
        <v>1.0</v>
      </c>
      <c r="E2" s="37">
        <v>46375.0</v>
      </c>
      <c r="F2" s="36">
        <v>1.0</v>
      </c>
      <c r="G2" s="38">
        <v>11887.0</v>
      </c>
      <c r="H2" s="38">
        <v>3244.0</v>
      </c>
      <c r="I2" s="39">
        <v>3.855888E7</v>
      </c>
      <c r="J2" s="35" t="s">
        <v>944</v>
      </c>
      <c r="K2" s="40" t="s">
        <v>945</v>
      </c>
      <c r="M2" s="12"/>
      <c r="O2" s="41"/>
      <c r="P2" s="41"/>
      <c r="Q2" s="41"/>
    </row>
    <row r="3" ht="15.0" customHeight="1">
      <c r="A3" s="42" t="s">
        <v>947</v>
      </c>
      <c r="B3" s="43" t="s">
        <v>17</v>
      </c>
      <c r="C3" s="44">
        <v>2025.0</v>
      </c>
      <c r="D3" s="44">
        <v>1.0</v>
      </c>
      <c r="E3" s="45">
        <v>46044.0</v>
      </c>
      <c r="F3" s="44">
        <v>2.0</v>
      </c>
      <c r="G3" s="46">
        <v>14299.0</v>
      </c>
      <c r="H3" s="46">
        <v>2941.0</v>
      </c>
      <c r="I3" s="47">
        <v>4.205638E7</v>
      </c>
      <c r="J3" s="43" t="s">
        <v>948</v>
      </c>
      <c r="K3" s="48" t="s">
        <v>945</v>
      </c>
      <c r="M3" s="12"/>
      <c r="O3" s="41"/>
      <c r="P3" s="41"/>
      <c r="Q3" s="41"/>
    </row>
    <row r="4" ht="15.0" customHeight="1">
      <c r="A4" s="34" t="s">
        <v>949</v>
      </c>
      <c r="B4" s="35" t="s">
        <v>17</v>
      </c>
      <c r="C4" s="36">
        <v>2025.0</v>
      </c>
      <c r="D4" s="36">
        <v>2.0</v>
      </c>
      <c r="E4" s="37">
        <v>46055.0</v>
      </c>
      <c r="F4" s="36">
        <v>1.0</v>
      </c>
      <c r="G4" s="38">
        <v>11609.0</v>
      </c>
      <c r="H4" s="38">
        <v>2879.0</v>
      </c>
      <c r="I4" s="39">
        <v>3.34184E7</v>
      </c>
      <c r="J4" s="35" t="s">
        <v>950</v>
      </c>
      <c r="K4" s="40" t="s">
        <v>945</v>
      </c>
      <c r="M4" s="14"/>
      <c r="O4" s="41"/>
      <c r="P4" s="41"/>
      <c r="Q4" s="41"/>
    </row>
    <row r="5" ht="15.0" customHeight="1">
      <c r="A5" s="42" t="s">
        <v>951</v>
      </c>
      <c r="B5" s="43" t="s">
        <v>17</v>
      </c>
      <c r="C5" s="44">
        <v>2025.0</v>
      </c>
      <c r="D5" s="44">
        <v>2.0</v>
      </c>
      <c r="E5" s="45">
        <v>46069.0</v>
      </c>
      <c r="F5" s="44">
        <v>2.0</v>
      </c>
      <c r="G5" s="46">
        <v>13123.0</v>
      </c>
      <c r="H5" s="46">
        <v>3078.0</v>
      </c>
      <c r="I5" s="47">
        <v>4.039487E7</v>
      </c>
      <c r="J5" s="43" t="s">
        <v>952</v>
      </c>
      <c r="K5" s="48" t="s">
        <v>945</v>
      </c>
      <c r="M5" s="14"/>
      <c r="O5" s="41"/>
      <c r="P5" s="41"/>
      <c r="Q5" s="41"/>
    </row>
    <row r="6" ht="15.0" customHeight="1">
      <c r="A6" s="34" t="s">
        <v>953</v>
      </c>
      <c r="B6" s="35" t="s">
        <v>17</v>
      </c>
      <c r="C6" s="36">
        <v>2025.0</v>
      </c>
      <c r="D6" s="36">
        <v>3.0</v>
      </c>
      <c r="E6" s="37">
        <v>46085.0</v>
      </c>
      <c r="F6" s="36">
        <v>1.0</v>
      </c>
      <c r="G6" s="38">
        <v>14724.0</v>
      </c>
      <c r="H6" s="38">
        <v>3351.0</v>
      </c>
      <c r="I6" s="39">
        <v>4.933856E7</v>
      </c>
      <c r="J6" s="35" t="s">
        <v>954</v>
      </c>
      <c r="K6" s="40" t="s">
        <v>945</v>
      </c>
      <c r="M6" s="14"/>
      <c r="O6" s="41"/>
      <c r="P6" s="41"/>
      <c r="Q6" s="41"/>
    </row>
    <row r="7" ht="15.0" customHeight="1">
      <c r="A7" s="42" t="s">
        <v>955</v>
      </c>
      <c r="B7" s="43" t="s">
        <v>17</v>
      </c>
      <c r="C7" s="44">
        <v>2025.0</v>
      </c>
      <c r="D7" s="44">
        <v>3.0</v>
      </c>
      <c r="E7" s="45">
        <v>46099.0</v>
      </c>
      <c r="F7" s="44">
        <v>2.0</v>
      </c>
      <c r="G7" s="46">
        <v>13832.0</v>
      </c>
      <c r="H7" s="46">
        <v>3335.0</v>
      </c>
      <c r="I7" s="47">
        <v>4.613494E7</v>
      </c>
      <c r="J7" s="43" t="s">
        <v>956</v>
      </c>
      <c r="K7" s="48" t="s">
        <v>945</v>
      </c>
      <c r="M7" s="14"/>
      <c r="O7" s="41"/>
      <c r="P7" s="41"/>
      <c r="Q7" s="41"/>
    </row>
    <row r="8" ht="15.0" customHeight="1">
      <c r="A8" s="34" t="s">
        <v>957</v>
      </c>
      <c r="B8" s="35" t="s">
        <v>17</v>
      </c>
      <c r="C8" s="36">
        <v>2025.0</v>
      </c>
      <c r="D8" s="36">
        <v>4.0</v>
      </c>
      <c r="E8" s="49"/>
      <c r="F8" s="36">
        <v>1.0</v>
      </c>
      <c r="G8" s="38">
        <v>24197.0</v>
      </c>
      <c r="H8" s="38">
        <v>3170.0</v>
      </c>
      <c r="I8" s="39">
        <v>7.671009E7</v>
      </c>
      <c r="J8" s="35" t="s">
        <v>958</v>
      </c>
      <c r="K8" s="40" t="s">
        <v>945</v>
      </c>
      <c r="O8" s="41"/>
      <c r="P8" s="41"/>
      <c r="Q8" s="41"/>
    </row>
    <row r="9" ht="15.0" customHeight="1">
      <c r="A9" s="42" t="s">
        <v>959</v>
      </c>
      <c r="B9" s="43" t="s">
        <v>17</v>
      </c>
      <c r="C9" s="44">
        <v>2025.0</v>
      </c>
      <c r="D9" s="44">
        <v>4.0</v>
      </c>
      <c r="E9" s="45">
        <v>46120.0</v>
      </c>
      <c r="F9" s="44">
        <v>2.0</v>
      </c>
      <c r="G9" s="46">
        <v>33431.0</v>
      </c>
      <c r="H9" s="46">
        <v>3036.0</v>
      </c>
      <c r="I9" s="47">
        <v>1.0150305E8</v>
      </c>
      <c r="J9" s="43" t="s">
        <v>960</v>
      </c>
      <c r="K9" s="48" t="s">
        <v>945</v>
      </c>
      <c r="M9" s="14"/>
      <c r="O9" s="41"/>
      <c r="P9" s="41"/>
      <c r="Q9" s="41"/>
    </row>
    <row r="10" ht="15.0" customHeight="1">
      <c r="A10" s="34" t="s">
        <v>961</v>
      </c>
      <c r="B10" s="35" t="s">
        <v>17</v>
      </c>
      <c r="C10" s="36">
        <v>2025.0</v>
      </c>
      <c r="D10" s="36">
        <v>5.0</v>
      </c>
      <c r="E10" s="37">
        <v>46134.0</v>
      </c>
      <c r="F10" s="36">
        <v>1.0</v>
      </c>
      <c r="G10" s="38">
        <v>23107.0</v>
      </c>
      <c r="H10" s="38">
        <v>3025.0</v>
      </c>
      <c r="I10" s="39">
        <v>6.988871E7</v>
      </c>
      <c r="J10" s="35" t="s">
        <v>962</v>
      </c>
      <c r="K10" s="40" t="s">
        <v>945</v>
      </c>
      <c r="M10" s="14"/>
      <c r="O10" s="41"/>
      <c r="P10" s="41"/>
      <c r="Q10" s="41"/>
    </row>
    <row r="11" ht="15.0" customHeight="1">
      <c r="A11" s="42" t="s">
        <v>963</v>
      </c>
      <c r="B11" s="43" t="s">
        <v>17</v>
      </c>
      <c r="C11" s="44">
        <v>2025.0</v>
      </c>
      <c r="D11" s="44">
        <v>5.0</v>
      </c>
      <c r="E11" s="45">
        <v>46148.0</v>
      </c>
      <c r="F11" s="44">
        <v>2.0</v>
      </c>
      <c r="G11" s="46">
        <v>16806.0</v>
      </c>
      <c r="H11" s="46">
        <v>2981.0</v>
      </c>
      <c r="I11" s="47">
        <v>5.010419E7</v>
      </c>
      <c r="J11" s="43" t="s">
        <v>964</v>
      </c>
      <c r="K11" s="48" t="s">
        <v>945</v>
      </c>
      <c r="M11" s="14"/>
      <c r="O11" s="41"/>
      <c r="P11" s="41"/>
      <c r="Q11" s="41"/>
    </row>
    <row r="12" ht="15.0" customHeight="1">
      <c r="A12" s="34" t="s">
        <v>965</v>
      </c>
      <c r="B12" s="35" t="s">
        <v>17</v>
      </c>
      <c r="C12" s="36">
        <v>2025.0</v>
      </c>
      <c r="D12" s="36">
        <v>6.0</v>
      </c>
      <c r="E12" s="37">
        <v>46187.0</v>
      </c>
      <c r="F12" s="36">
        <v>1.0</v>
      </c>
      <c r="G12" s="38">
        <v>17188.0</v>
      </c>
      <c r="H12" s="38">
        <v>2827.0</v>
      </c>
      <c r="I12" s="39">
        <v>4.859039E7</v>
      </c>
      <c r="J12" s="35" t="s">
        <v>966</v>
      </c>
      <c r="K12" s="40" t="s">
        <v>945</v>
      </c>
      <c r="M12" s="14"/>
      <c r="O12" s="41"/>
      <c r="P12" s="41"/>
      <c r="Q12" s="41"/>
    </row>
    <row r="13" ht="15.0" customHeight="1">
      <c r="A13" s="42" t="s">
        <v>967</v>
      </c>
      <c r="B13" s="43" t="s">
        <v>17</v>
      </c>
      <c r="C13" s="44">
        <v>2025.0</v>
      </c>
      <c r="D13" s="44">
        <v>6.0</v>
      </c>
      <c r="E13" s="45">
        <v>46201.0</v>
      </c>
      <c r="F13" s="44">
        <v>2.0</v>
      </c>
      <c r="G13" s="46">
        <v>16989.0</v>
      </c>
      <c r="H13" s="46">
        <v>2899.0</v>
      </c>
      <c r="I13" s="47">
        <v>4.925297E7</v>
      </c>
      <c r="J13" s="43" t="s">
        <v>968</v>
      </c>
      <c r="K13" s="48" t="s">
        <v>945</v>
      </c>
      <c r="M13" s="14"/>
      <c r="O13" s="41"/>
      <c r="P13" s="41"/>
      <c r="Q13" s="41"/>
    </row>
    <row r="14" ht="15.0" customHeight="1">
      <c r="A14" s="34" t="s">
        <v>969</v>
      </c>
      <c r="B14" s="35" t="s">
        <v>17</v>
      </c>
      <c r="C14" s="36">
        <v>2025.0</v>
      </c>
      <c r="D14" s="36">
        <v>7.0</v>
      </c>
      <c r="E14" s="37">
        <v>46213.0</v>
      </c>
      <c r="F14" s="36">
        <v>1.0</v>
      </c>
      <c r="G14" s="38">
        <v>17948.0</v>
      </c>
      <c r="H14" s="38">
        <v>3002.0</v>
      </c>
      <c r="I14" s="39">
        <v>5.388504E7</v>
      </c>
      <c r="J14" s="35" t="s">
        <v>970</v>
      </c>
      <c r="K14" s="40" t="s">
        <v>945</v>
      </c>
      <c r="M14" s="14"/>
      <c r="O14" s="41"/>
      <c r="P14" s="41"/>
      <c r="Q14" s="41"/>
    </row>
    <row r="15" ht="15.0" customHeight="1">
      <c r="A15" s="42" t="s">
        <v>971</v>
      </c>
      <c r="B15" s="43" t="s">
        <v>17</v>
      </c>
      <c r="C15" s="44">
        <v>2025.0</v>
      </c>
      <c r="D15" s="44">
        <v>7.0</v>
      </c>
      <c r="E15" s="45">
        <v>46226.0</v>
      </c>
      <c r="F15" s="44">
        <v>2.0</v>
      </c>
      <c r="G15" s="46">
        <v>19270.0</v>
      </c>
      <c r="H15" s="46">
        <v>3180.0</v>
      </c>
      <c r="I15" s="47">
        <v>6.128534E7</v>
      </c>
      <c r="J15" s="43" t="s">
        <v>972</v>
      </c>
      <c r="K15" s="48" t="s">
        <v>945</v>
      </c>
      <c r="M15" s="14"/>
      <c r="O15" s="41"/>
      <c r="P15" s="41"/>
      <c r="Q15" s="41"/>
    </row>
    <row r="16" ht="15.0" customHeight="1">
      <c r="A16" s="34" t="s">
        <v>973</v>
      </c>
      <c r="B16" s="35" t="s">
        <v>17</v>
      </c>
      <c r="C16" s="36">
        <v>2025.0</v>
      </c>
      <c r="D16" s="36">
        <v>8.0</v>
      </c>
      <c r="E16" s="37">
        <v>46240.0</v>
      </c>
      <c r="F16" s="36">
        <v>1.0</v>
      </c>
      <c r="G16" s="38">
        <v>18013.0</v>
      </c>
      <c r="H16" s="38">
        <v>3126.0</v>
      </c>
      <c r="I16" s="39">
        <v>5.630525E7</v>
      </c>
      <c r="J16" s="35" t="s">
        <v>974</v>
      </c>
      <c r="K16" s="40" t="s">
        <v>945</v>
      </c>
      <c r="M16" s="14"/>
      <c r="O16" s="41"/>
      <c r="P16" s="41"/>
      <c r="Q16" s="41"/>
    </row>
    <row r="17" ht="15.0" customHeight="1">
      <c r="A17" s="42" t="s">
        <v>975</v>
      </c>
      <c r="B17" s="43" t="s">
        <v>17</v>
      </c>
      <c r="C17" s="44">
        <v>2025.0</v>
      </c>
      <c r="D17" s="44">
        <v>8.0</v>
      </c>
      <c r="E17" s="45">
        <v>46253.0</v>
      </c>
      <c r="F17" s="44">
        <v>2.0</v>
      </c>
      <c r="G17" s="46">
        <v>20623.0</v>
      </c>
      <c r="H17" s="46">
        <v>3099.0</v>
      </c>
      <c r="I17" s="47">
        <v>6.392064E7</v>
      </c>
      <c r="J17" s="43" t="s">
        <v>976</v>
      </c>
      <c r="K17" s="48" t="s">
        <v>945</v>
      </c>
      <c r="M17" s="14"/>
      <c r="O17" s="41"/>
      <c r="P17" s="41"/>
      <c r="Q17" s="41"/>
    </row>
    <row r="18" ht="15.0" customHeight="1">
      <c r="A18" s="34" t="s">
        <v>977</v>
      </c>
      <c r="B18" s="35" t="s">
        <v>17</v>
      </c>
      <c r="C18" s="36">
        <v>2025.0</v>
      </c>
      <c r="D18" s="36">
        <v>9.0</v>
      </c>
      <c r="E18" s="37">
        <v>46267.0</v>
      </c>
      <c r="F18" s="36">
        <v>1.0</v>
      </c>
      <c r="G18" s="38">
        <v>23404.0</v>
      </c>
      <c r="H18" s="38">
        <v>3145.0</v>
      </c>
      <c r="I18" s="39">
        <v>7.361477E7</v>
      </c>
      <c r="J18" s="35" t="s">
        <v>978</v>
      </c>
      <c r="K18" s="40" t="s">
        <v>945</v>
      </c>
      <c r="M18" s="14"/>
      <c r="O18" s="41"/>
      <c r="P18" s="41"/>
      <c r="Q18" s="41"/>
    </row>
    <row r="19" ht="15.0" customHeight="1">
      <c r="A19" s="42" t="s">
        <v>979</v>
      </c>
      <c r="B19" s="43" t="s">
        <v>17</v>
      </c>
      <c r="C19" s="44">
        <v>2025.0</v>
      </c>
      <c r="D19" s="44">
        <v>9.0</v>
      </c>
      <c r="E19" s="45">
        <v>46281.0</v>
      </c>
      <c r="F19" s="44">
        <v>2.0</v>
      </c>
      <c r="G19" s="46">
        <v>23430.0</v>
      </c>
      <c r="H19" s="46">
        <v>3189.0</v>
      </c>
      <c r="I19" s="47">
        <v>7.471464E7</v>
      </c>
      <c r="J19" s="43" t="s">
        <v>980</v>
      </c>
      <c r="K19" s="48" t="s">
        <v>945</v>
      </c>
      <c r="M19" s="14"/>
      <c r="O19" s="41"/>
      <c r="P19" s="41"/>
      <c r="Q19" s="41"/>
    </row>
    <row r="20" ht="15.0" customHeight="1">
      <c r="A20" s="34" t="s">
        <v>981</v>
      </c>
      <c r="B20" s="35" t="s">
        <v>17</v>
      </c>
      <c r="C20" s="36">
        <v>2025.0</v>
      </c>
      <c r="D20" s="36">
        <v>10.0</v>
      </c>
      <c r="E20" s="37">
        <v>46295.0</v>
      </c>
      <c r="F20" s="36">
        <v>1.0</v>
      </c>
      <c r="G20" s="38">
        <v>24803.0</v>
      </c>
      <c r="H20" s="38">
        <v>3195.0</v>
      </c>
      <c r="I20" s="39">
        <v>7.925032E7</v>
      </c>
      <c r="J20" s="35" t="s">
        <v>982</v>
      </c>
      <c r="K20" s="40" t="s">
        <v>945</v>
      </c>
      <c r="M20" s="14"/>
      <c r="O20" s="41"/>
      <c r="P20" s="41"/>
      <c r="Q20" s="41"/>
    </row>
    <row r="21" ht="15.0" customHeight="1">
      <c r="A21" s="42" t="s">
        <v>983</v>
      </c>
      <c r="B21" s="43" t="s">
        <v>17</v>
      </c>
      <c r="C21" s="44">
        <v>2025.0</v>
      </c>
      <c r="D21" s="44">
        <v>10.0</v>
      </c>
      <c r="E21" s="45">
        <v>46308.0</v>
      </c>
      <c r="F21" s="44">
        <v>2.0</v>
      </c>
      <c r="G21" s="46">
        <v>23132.0</v>
      </c>
      <c r="H21" s="46">
        <v>3274.0</v>
      </c>
      <c r="I21" s="47">
        <v>7.572399E7</v>
      </c>
      <c r="J21" s="43" t="s">
        <v>984</v>
      </c>
      <c r="K21" s="48" t="s">
        <v>945</v>
      </c>
      <c r="M21" s="12"/>
      <c r="O21" s="41"/>
      <c r="P21" s="41"/>
      <c r="Q21" s="41"/>
    </row>
    <row r="22" ht="15.0" customHeight="1">
      <c r="A22" s="34" t="s">
        <v>985</v>
      </c>
      <c r="B22" s="35" t="s">
        <v>17</v>
      </c>
      <c r="C22" s="36">
        <v>2025.0</v>
      </c>
      <c r="D22" s="36">
        <v>11.0</v>
      </c>
      <c r="E22" s="37">
        <v>46323.0</v>
      </c>
      <c r="F22" s="36">
        <v>1.0</v>
      </c>
      <c r="G22" s="38">
        <v>20938.0</v>
      </c>
      <c r="H22" s="38">
        <v>3196.0</v>
      </c>
      <c r="I22" s="39">
        <v>6.691448E7</v>
      </c>
      <c r="J22" s="35" t="s">
        <v>986</v>
      </c>
      <c r="K22" s="40" t="s">
        <v>945</v>
      </c>
      <c r="M22" s="12"/>
      <c r="O22" s="41"/>
      <c r="P22" s="41"/>
      <c r="Q22" s="41"/>
    </row>
    <row r="23" ht="15.0" customHeight="1">
      <c r="A23" s="42" t="s">
        <v>987</v>
      </c>
      <c r="B23" s="43" t="s">
        <v>17</v>
      </c>
      <c r="C23" s="44">
        <v>2025.0</v>
      </c>
      <c r="D23" s="44">
        <v>11.0</v>
      </c>
      <c r="E23" s="45">
        <v>46335.0</v>
      </c>
      <c r="F23" s="44">
        <v>2.0</v>
      </c>
      <c r="G23" s="46">
        <v>23263.0</v>
      </c>
      <c r="H23" s="46">
        <v>3088.0</v>
      </c>
      <c r="I23" s="47">
        <v>7.183332E7</v>
      </c>
      <c r="J23" s="43" t="s">
        <v>988</v>
      </c>
      <c r="K23" s="48" t="s">
        <v>945</v>
      </c>
      <c r="M23" s="14"/>
      <c r="O23" s="41"/>
      <c r="P23" s="41"/>
      <c r="Q23" s="41"/>
    </row>
    <row r="24" ht="15.0" customHeight="1">
      <c r="A24" s="34" t="s">
        <v>989</v>
      </c>
      <c r="B24" s="35" t="s">
        <v>17</v>
      </c>
      <c r="C24" s="36">
        <v>2025.0</v>
      </c>
      <c r="D24" s="36">
        <v>12.0</v>
      </c>
      <c r="E24" s="37">
        <v>46350.0</v>
      </c>
      <c r="F24" s="36">
        <v>1.0</v>
      </c>
      <c r="G24" s="38">
        <v>29807.0</v>
      </c>
      <c r="H24" s="38">
        <v>3184.0</v>
      </c>
      <c r="I24" s="39">
        <v>9.492002E7</v>
      </c>
      <c r="J24" s="35" t="s">
        <v>990</v>
      </c>
      <c r="K24" s="40" t="s">
        <v>945</v>
      </c>
      <c r="M24" s="12"/>
      <c r="O24" s="41"/>
      <c r="P24" s="41"/>
      <c r="Q24" s="41"/>
    </row>
    <row r="25" ht="15.0" customHeight="1">
      <c r="A25" s="42" t="s">
        <v>991</v>
      </c>
      <c r="B25" s="43" t="s">
        <v>17</v>
      </c>
      <c r="C25" s="44">
        <v>2025.0</v>
      </c>
      <c r="D25" s="44">
        <v>12.0</v>
      </c>
      <c r="E25" s="45">
        <v>46375.0</v>
      </c>
      <c r="F25" s="44">
        <v>2.0</v>
      </c>
      <c r="G25" s="46">
        <v>25409.0</v>
      </c>
      <c r="H25" s="46">
        <v>3106.0</v>
      </c>
      <c r="I25" s="47">
        <v>7.891774E7</v>
      </c>
      <c r="J25" s="43" t="s">
        <v>992</v>
      </c>
      <c r="K25" s="48" t="s">
        <v>945</v>
      </c>
      <c r="M25" s="12"/>
      <c r="O25" s="41"/>
      <c r="P25" s="41"/>
      <c r="Q25" s="41"/>
    </row>
  </sheetData>
  <autoFilter ref="$A$1:$K$2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9E0B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25.88"/>
    <col customWidth="1" min="2" max="2" width="8.5"/>
    <col customWidth="1" min="3" max="3" width="11.88"/>
    <col customWidth="1" min="4" max="4" width="12.38"/>
    <col customWidth="1" min="5" max="5" width="12.25"/>
    <col customWidth="1" min="6" max="6" width="11.13"/>
    <col customWidth="1" min="7" max="7" width="10.13"/>
    <col customWidth="1" min="8" max="8" width="20.38"/>
    <col customWidth="1" min="9" max="9" width="18.13"/>
    <col customWidth="1" min="10" max="10" width="9.88"/>
    <col customWidth="1" hidden="1" min="11" max="11" width="19.75"/>
  </cols>
  <sheetData>
    <row r="1">
      <c r="A1" s="31" t="s">
        <v>0</v>
      </c>
      <c r="B1" s="32" t="s">
        <v>3</v>
      </c>
      <c r="C1" s="32" t="s">
        <v>4</v>
      </c>
      <c r="D1" s="32" t="s">
        <v>5</v>
      </c>
      <c r="E1" s="32" t="s">
        <v>6</v>
      </c>
      <c r="F1" s="32" t="s">
        <v>13</v>
      </c>
      <c r="G1" s="32" t="s">
        <v>599</v>
      </c>
      <c r="H1" s="32" t="s">
        <v>600</v>
      </c>
      <c r="I1" s="32" t="s">
        <v>10</v>
      </c>
      <c r="J1" s="32" t="s">
        <v>9</v>
      </c>
      <c r="K1" s="33" t="s">
        <v>12</v>
      </c>
    </row>
    <row r="2">
      <c r="A2" s="34" t="s">
        <v>1073</v>
      </c>
      <c r="B2" s="35" t="s">
        <v>17</v>
      </c>
      <c r="C2" s="36">
        <v>2025.0</v>
      </c>
      <c r="D2" s="36">
        <v>1.0</v>
      </c>
      <c r="E2" s="37">
        <v>46375.0</v>
      </c>
      <c r="F2" s="36">
        <v>1.0</v>
      </c>
      <c r="G2" s="35" t="s">
        <v>602</v>
      </c>
      <c r="H2" s="50" t="s">
        <v>169</v>
      </c>
      <c r="I2" s="35" t="s">
        <v>1074</v>
      </c>
      <c r="J2" s="39">
        <v>1350000.0</v>
      </c>
      <c r="K2" s="40" t="s">
        <v>945</v>
      </c>
      <c r="L2" s="41"/>
      <c r="N2" s="12"/>
      <c r="P2" s="41"/>
      <c r="Q2" s="41"/>
      <c r="R2" s="41"/>
    </row>
    <row r="3">
      <c r="A3" s="42" t="s">
        <v>1075</v>
      </c>
      <c r="B3" s="43" t="s">
        <v>17</v>
      </c>
      <c r="C3" s="44">
        <v>2025.0</v>
      </c>
      <c r="D3" s="44">
        <v>1.0</v>
      </c>
      <c r="E3" s="45">
        <v>46375.0</v>
      </c>
      <c r="F3" s="44">
        <v>1.0</v>
      </c>
      <c r="G3" s="43" t="s">
        <v>602</v>
      </c>
      <c r="H3" s="51" t="s">
        <v>176</v>
      </c>
      <c r="I3" s="43" t="s">
        <v>1076</v>
      </c>
      <c r="J3" s="47">
        <v>2640000.0</v>
      </c>
      <c r="K3" s="48" t="s">
        <v>945</v>
      </c>
      <c r="L3" s="41"/>
      <c r="N3" s="12"/>
      <c r="P3" s="41"/>
      <c r="Q3" s="41"/>
      <c r="R3" s="41"/>
    </row>
    <row r="4">
      <c r="A4" s="34" t="s">
        <v>1077</v>
      </c>
      <c r="B4" s="35" t="s">
        <v>17</v>
      </c>
      <c r="C4" s="36">
        <v>2025.0</v>
      </c>
      <c r="D4" s="36">
        <v>1.0</v>
      </c>
      <c r="E4" s="37">
        <v>46375.0</v>
      </c>
      <c r="F4" s="36">
        <v>1.0</v>
      </c>
      <c r="G4" s="35" t="s">
        <v>602</v>
      </c>
      <c r="H4" s="50" t="s">
        <v>183</v>
      </c>
      <c r="I4" s="52"/>
      <c r="J4" s="38">
        <v>400000.0</v>
      </c>
      <c r="K4" s="40" t="s">
        <v>945</v>
      </c>
      <c r="L4" s="41"/>
      <c r="N4" s="14"/>
      <c r="P4" s="41"/>
      <c r="Q4" s="41"/>
      <c r="R4" s="41"/>
    </row>
    <row r="5">
      <c r="A5" s="42" t="s">
        <v>1078</v>
      </c>
      <c r="B5" s="43" t="s">
        <v>17</v>
      </c>
      <c r="C5" s="44">
        <v>2025.0</v>
      </c>
      <c r="D5" s="44">
        <v>1.0</v>
      </c>
      <c r="E5" s="45">
        <v>46375.0</v>
      </c>
      <c r="F5" s="44">
        <v>1.0</v>
      </c>
      <c r="G5" s="43" t="s">
        <v>602</v>
      </c>
      <c r="H5" s="51" t="s">
        <v>188</v>
      </c>
      <c r="I5" s="53"/>
      <c r="J5" s="46">
        <v>150000.0</v>
      </c>
      <c r="K5" s="48" t="s">
        <v>945</v>
      </c>
      <c r="L5" s="41"/>
      <c r="N5" s="14"/>
      <c r="P5" s="41"/>
      <c r="Q5" s="41"/>
      <c r="R5" s="41"/>
    </row>
    <row r="6">
      <c r="A6" s="34" t="s">
        <v>1079</v>
      </c>
      <c r="B6" s="35" t="s">
        <v>17</v>
      </c>
      <c r="C6" s="36">
        <v>2025.0</v>
      </c>
      <c r="D6" s="36">
        <v>1.0</v>
      </c>
      <c r="E6" s="37">
        <v>46375.0</v>
      </c>
      <c r="F6" s="36">
        <v>1.0</v>
      </c>
      <c r="G6" s="35" t="s">
        <v>613</v>
      </c>
      <c r="H6" s="50" t="s">
        <v>1080</v>
      </c>
      <c r="I6" s="52"/>
      <c r="J6" s="38">
        <v>825000.0</v>
      </c>
      <c r="K6" s="40" t="s">
        <v>945</v>
      </c>
      <c r="L6" s="41"/>
      <c r="N6" s="14"/>
      <c r="P6" s="41"/>
      <c r="Q6" s="41"/>
      <c r="R6" s="41"/>
    </row>
    <row r="7">
      <c r="A7" s="42" t="s">
        <v>1081</v>
      </c>
      <c r="B7" s="43" t="s">
        <v>17</v>
      </c>
      <c r="C7" s="44">
        <v>2025.0</v>
      </c>
      <c r="D7" s="44">
        <v>1.0</v>
      </c>
      <c r="E7" s="45">
        <v>46375.0</v>
      </c>
      <c r="F7" s="44">
        <v>1.0</v>
      </c>
      <c r="G7" s="43" t="s">
        <v>613</v>
      </c>
      <c r="H7" s="51" t="s">
        <v>211</v>
      </c>
      <c r="I7" s="53"/>
      <c r="J7" s="47">
        <v>1096000.0</v>
      </c>
      <c r="K7" s="48" t="s">
        <v>945</v>
      </c>
      <c r="L7" s="41"/>
      <c r="N7" s="14"/>
      <c r="P7" s="41"/>
      <c r="Q7" s="41"/>
      <c r="R7" s="41"/>
    </row>
    <row r="8">
      <c r="A8" s="34" t="s">
        <v>1082</v>
      </c>
      <c r="B8" s="35" t="s">
        <v>17</v>
      </c>
      <c r="C8" s="36">
        <v>2025.0</v>
      </c>
      <c r="D8" s="36">
        <v>1.0</v>
      </c>
      <c r="E8" s="37">
        <v>46375.0</v>
      </c>
      <c r="F8" s="36">
        <v>1.0</v>
      </c>
      <c r="G8" s="35" t="s">
        <v>602</v>
      </c>
      <c r="H8" s="50" t="s">
        <v>1083</v>
      </c>
      <c r="I8" s="52"/>
      <c r="J8" s="38">
        <v>295000.0</v>
      </c>
      <c r="K8" s="40" t="s">
        <v>945</v>
      </c>
      <c r="L8" s="41"/>
      <c r="P8" s="41"/>
      <c r="Q8" s="41"/>
      <c r="R8" s="41"/>
    </row>
    <row r="9">
      <c r="A9" s="42" t="s">
        <v>1084</v>
      </c>
      <c r="B9" s="43" t="s">
        <v>17</v>
      </c>
      <c r="C9" s="44">
        <v>2025.0</v>
      </c>
      <c r="D9" s="44">
        <v>1.0</v>
      </c>
      <c r="E9" s="45">
        <v>46375.0</v>
      </c>
      <c r="F9" s="44">
        <v>1.0</v>
      </c>
      <c r="G9" s="43" t="s">
        <v>613</v>
      </c>
      <c r="H9" s="51" t="s">
        <v>235</v>
      </c>
      <c r="I9" s="53"/>
      <c r="J9" s="46">
        <v>665000.0</v>
      </c>
      <c r="K9" s="48" t="s">
        <v>945</v>
      </c>
      <c r="L9" s="41"/>
      <c r="N9" s="14"/>
      <c r="P9" s="41"/>
      <c r="Q9" s="41"/>
      <c r="R9" s="41"/>
    </row>
    <row r="10">
      <c r="A10" s="34" t="s">
        <v>1085</v>
      </c>
      <c r="B10" s="35" t="s">
        <v>17</v>
      </c>
      <c r="C10" s="36">
        <v>2025.0</v>
      </c>
      <c r="D10" s="36">
        <v>1.0</v>
      </c>
      <c r="E10" s="37">
        <v>46375.0</v>
      </c>
      <c r="F10" s="36">
        <v>1.0</v>
      </c>
      <c r="G10" s="35" t="s">
        <v>237</v>
      </c>
      <c r="H10" s="50" t="s">
        <v>237</v>
      </c>
      <c r="I10" s="52"/>
      <c r="J10" s="39">
        <v>4500000.0</v>
      </c>
      <c r="K10" s="40" t="s">
        <v>945</v>
      </c>
      <c r="L10" s="41"/>
      <c r="N10" s="14"/>
      <c r="P10" s="41"/>
      <c r="Q10" s="41"/>
      <c r="R10" s="41"/>
    </row>
    <row r="11">
      <c r="A11" s="42" t="s">
        <v>1086</v>
      </c>
      <c r="B11" s="43" t="s">
        <v>17</v>
      </c>
      <c r="C11" s="44">
        <v>2025.0</v>
      </c>
      <c r="D11" s="44">
        <v>1.0</v>
      </c>
      <c r="E11" s="45">
        <v>46375.0</v>
      </c>
      <c r="F11" s="44">
        <v>1.0</v>
      </c>
      <c r="G11" s="43" t="s">
        <v>613</v>
      </c>
      <c r="H11" s="51" t="s">
        <v>200</v>
      </c>
      <c r="I11" s="53"/>
      <c r="J11" s="46">
        <v>110000.0</v>
      </c>
      <c r="K11" s="48" t="s">
        <v>945</v>
      </c>
      <c r="L11" s="41"/>
      <c r="N11" s="14"/>
      <c r="P11" s="41"/>
      <c r="Q11" s="41"/>
      <c r="R11" s="41"/>
    </row>
    <row r="12">
      <c r="A12" s="34" t="s">
        <v>1087</v>
      </c>
      <c r="B12" s="35" t="s">
        <v>17</v>
      </c>
      <c r="C12" s="36">
        <v>2025.0</v>
      </c>
      <c r="D12" s="36">
        <v>1.0</v>
      </c>
      <c r="E12" s="37">
        <v>46375.0</v>
      </c>
      <c r="F12" s="36">
        <v>1.0</v>
      </c>
      <c r="G12" s="35" t="s">
        <v>613</v>
      </c>
      <c r="H12" s="50" t="s">
        <v>1088</v>
      </c>
      <c r="I12" s="52"/>
      <c r="J12" s="38">
        <v>50000.0</v>
      </c>
      <c r="K12" s="40" t="s">
        <v>945</v>
      </c>
      <c r="L12" s="41"/>
      <c r="N12" s="14"/>
      <c r="P12" s="41"/>
      <c r="Q12" s="41"/>
      <c r="R12" s="41"/>
    </row>
    <row r="13">
      <c r="A13" s="42" t="s">
        <v>1089</v>
      </c>
      <c r="B13" s="43" t="s">
        <v>17</v>
      </c>
      <c r="C13" s="44">
        <v>2025.0</v>
      </c>
      <c r="D13" s="44">
        <v>1.0</v>
      </c>
      <c r="E13" s="45">
        <v>46375.0</v>
      </c>
      <c r="F13" s="44">
        <v>1.0</v>
      </c>
      <c r="G13" s="43" t="s">
        <v>613</v>
      </c>
      <c r="H13" s="51" t="s">
        <v>1090</v>
      </c>
      <c r="I13" s="53"/>
      <c r="J13" s="46">
        <v>240000.0</v>
      </c>
      <c r="K13" s="48" t="s">
        <v>945</v>
      </c>
      <c r="L13" s="41"/>
      <c r="N13" s="14"/>
      <c r="P13" s="41"/>
      <c r="Q13" s="41"/>
      <c r="R13" s="41"/>
    </row>
    <row r="14">
      <c r="A14" s="34" t="s">
        <v>1091</v>
      </c>
      <c r="B14" s="35" t="s">
        <v>17</v>
      </c>
      <c r="C14" s="36">
        <v>2025.0</v>
      </c>
      <c r="D14" s="36">
        <v>1.0</v>
      </c>
      <c r="E14" s="37">
        <v>46044.0</v>
      </c>
      <c r="F14" s="36">
        <v>2.0</v>
      </c>
      <c r="G14" s="35" t="s">
        <v>602</v>
      </c>
      <c r="H14" s="50" t="s">
        <v>169</v>
      </c>
      <c r="I14" s="35" t="s">
        <v>1092</v>
      </c>
      <c r="J14" s="39">
        <v>1494000.0</v>
      </c>
      <c r="K14" s="40" t="s">
        <v>945</v>
      </c>
      <c r="L14" s="41"/>
      <c r="N14" s="14"/>
      <c r="P14" s="41"/>
      <c r="Q14" s="41"/>
      <c r="R14" s="41"/>
    </row>
    <row r="15">
      <c r="A15" s="42" t="s">
        <v>1093</v>
      </c>
      <c r="B15" s="43" t="s">
        <v>17</v>
      </c>
      <c r="C15" s="44">
        <v>2025.0</v>
      </c>
      <c r="D15" s="44">
        <v>1.0</v>
      </c>
      <c r="E15" s="45">
        <v>46044.0</v>
      </c>
      <c r="F15" s="44">
        <v>2.0</v>
      </c>
      <c r="G15" s="43" t="s">
        <v>602</v>
      </c>
      <c r="H15" s="51" t="s">
        <v>176</v>
      </c>
      <c r="I15" s="43" t="s">
        <v>1094</v>
      </c>
      <c r="J15" s="47">
        <v>2880000.0</v>
      </c>
      <c r="K15" s="48" t="s">
        <v>945</v>
      </c>
      <c r="L15" s="41"/>
      <c r="N15" s="14"/>
      <c r="P15" s="41"/>
      <c r="Q15" s="41"/>
      <c r="R15" s="41"/>
    </row>
    <row r="16">
      <c r="A16" s="34" t="s">
        <v>1095</v>
      </c>
      <c r="B16" s="35" t="s">
        <v>17</v>
      </c>
      <c r="C16" s="36">
        <v>2025.0</v>
      </c>
      <c r="D16" s="36">
        <v>1.0</v>
      </c>
      <c r="E16" s="37">
        <v>46044.0</v>
      </c>
      <c r="F16" s="36">
        <v>2.0</v>
      </c>
      <c r="G16" s="35" t="s">
        <v>602</v>
      </c>
      <c r="H16" s="50" t="s">
        <v>183</v>
      </c>
      <c r="I16" s="52"/>
      <c r="J16" s="38">
        <v>400000.0</v>
      </c>
      <c r="K16" s="40" t="s">
        <v>945</v>
      </c>
      <c r="L16" s="41"/>
      <c r="N16" s="14"/>
      <c r="P16" s="41"/>
      <c r="Q16" s="41"/>
      <c r="R16" s="41"/>
    </row>
    <row r="17">
      <c r="A17" s="42" t="s">
        <v>1096</v>
      </c>
      <c r="B17" s="43" t="s">
        <v>17</v>
      </c>
      <c r="C17" s="44">
        <v>2025.0</v>
      </c>
      <c r="D17" s="44">
        <v>1.0</v>
      </c>
      <c r="E17" s="45">
        <v>46044.0</v>
      </c>
      <c r="F17" s="44">
        <v>2.0</v>
      </c>
      <c r="G17" s="43" t="s">
        <v>602</v>
      </c>
      <c r="H17" s="51" t="s">
        <v>188</v>
      </c>
      <c r="I17" s="53"/>
      <c r="J17" s="46">
        <v>150000.0</v>
      </c>
      <c r="K17" s="48" t="s">
        <v>945</v>
      </c>
      <c r="L17" s="41"/>
      <c r="N17" s="14"/>
      <c r="P17" s="41"/>
      <c r="Q17" s="41"/>
      <c r="R17" s="41"/>
    </row>
    <row r="18">
      <c r="A18" s="34" t="s">
        <v>1097</v>
      </c>
      <c r="B18" s="35" t="s">
        <v>17</v>
      </c>
      <c r="C18" s="36">
        <v>2025.0</v>
      </c>
      <c r="D18" s="36">
        <v>1.0</v>
      </c>
      <c r="E18" s="37">
        <v>46044.0</v>
      </c>
      <c r="F18" s="36">
        <v>2.0</v>
      </c>
      <c r="G18" s="35" t="s">
        <v>613</v>
      </c>
      <c r="H18" s="50" t="s">
        <v>233</v>
      </c>
      <c r="I18" s="52"/>
      <c r="J18" s="39">
        <v>3500000.0</v>
      </c>
      <c r="K18" s="40" t="s">
        <v>945</v>
      </c>
      <c r="L18" s="41"/>
      <c r="N18" s="14"/>
      <c r="P18" s="41"/>
      <c r="Q18" s="41"/>
      <c r="R18" s="41"/>
    </row>
    <row r="19">
      <c r="A19" s="42" t="s">
        <v>1098</v>
      </c>
      <c r="B19" s="43" t="s">
        <v>17</v>
      </c>
      <c r="C19" s="44">
        <v>2025.0</v>
      </c>
      <c r="D19" s="44">
        <v>1.0</v>
      </c>
      <c r="E19" s="45">
        <v>46044.0</v>
      </c>
      <c r="F19" s="44">
        <v>2.0</v>
      </c>
      <c r="G19" s="43" t="s">
        <v>626</v>
      </c>
      <c r="H19" s="51" t="s">
        <v>243</v>
      </c>
      <c r="I19" s="53"/>
      <c r="J19" s="47">
        <v>2000000.0</v>
      </c>
      <c r="K19" s="48" t="s">
        <v>945</v>
      </c>
      <c r="L19" s="41"/>
      <c r="N19" s="14"/>
      <c r="P19" s="41"/>
      <c r="Q19" s="41"/>
      <c r="R19" s="41"/>
    </row>
    <row r="20">
      <c r="A20" s="34" t="s">
        <v>1099</v>
      </c>
      <c r="B20" s="35" t="s">
        <v>17</v>
      </c>
      <c r="C20" s="36">
        <v>2025.0</v>
      </c>
      <c r="D20" s="36">
        <v>1.0</v>
      </c>
      <c r="E20" s="37">
        <v>46044.0</v>
      </c>
      <c r="F20" s="36">
        <v>2.0</v>
      </c>
      <c r="G20" s="35" t="s">
        <v>613</v>
      </c>
      <c r="H20" s="50" t="s">
        <v>200</v>
      </c>
      <c r="I20" s="52"/>
      <c r="J20" s="38">
        <v>110000.0</v>
      </c>
      <c r="K20" s="40" t="s">
        <v>945</v>
      </c>
      <c r="L20" s="41"/>
      <c r="N20" s="14"/>
      <c r="P20" s="41"/>
      <c r="Q20" s="41"/>
      <c r="R20" s="41"/>
    </row>
    <row r="21">
      <c r="A21" s="42" t="s">
        <v>1100</v>
      </c>
      <c r="B21" s="43" t="s">
        <v>17</v>
      </c>
      <c r="C21" s="44">
        <v>2025.0</v>
      </c>
      <c r="D21" s="44">
        <v>1.0</v>
      </c>
      <c r="E21" s="45">
        <v>46044.0</v>
      </c>
      <c r="F21" s="44">
        <v>2.0</v>
      </c>
      <c r="G21" s="43" t="s">
        <v>626</v>
      </c>
      <c r="H21" s="51" t="s">
        <v>248</v>
      </c>
      <c r="I21" s="53"/>
      <c r="J21" s="47">
        <v>4029000.0</v>
      </c>
      <c r="K21" s="48" t="s">
        <v>945</v>
      </c>
      <c r="L21" s="41"/>
      <c r="N21" s="12"/>
      <c r="P21" s="41"/>
      <c r="Q21" s="41"/>
      <c r="R21" s="41"/>
    </row>
    <row r="22">
      <c r="A22" s="34" t="s">
        <v>1101</v>
      </c>
      <c r="B22" s="35" t="s">
        <v>17</v>
      </c>
      <c r="C22" s="36">
        <v>2025.0</v>
      </c>
      <c r="D22" s="36">
        <v>1.0</v>
      </c>
      <c r="E22" s="37">
        <v>46044.0</v>
      </c>
      <c r="F22" s="36">
        <v>2.0</v>
      </c>
      <c r="G22" s="35" t="s">
        <v>626</v>
      </c>
      <c r="H22" s="50" t="s">
        <v>239</v>
      </c>
      <c r="I22" s="52"/>
      <c r="J22" s="39">
        <v>7750000.0</v>
      </c>
      <c r="K22" s="40" t="s">
        <v>945</v>
      </c>
      <c r="L22" s="41"/>
      <c r="N22" s="12"/>
      <c r="P22" s="41"/>
      <c r="Q22" s="41"/>
      <c r="R22" s="41"/>
    </row>
    <row r="23">
      <c r="A23" s="42" t="s">
        <v>1102</v>
      </c>
      <c r="B23" s="43" t="s">
        <v>17</v>
      </c>
      <c r="C23" s="44">
        <v>2025.0</v>
      </c>
      <c r="D23" s="44">
        <v>2.0</v>
      </c>
      <c r="E23" s="45">
        <v>46055.0</v>
      </c>
      <c r="F23" s="44">
        <v>1.0</v>
      </c>
      <c r="G23" s="43" t="s">
        <v>602</v>
      </c>
      <c r="H23" s="51" t="s">
        <v>169</v>
      </c>
      <c r="I23" s="43" t="s">
        <v>1103</v>
      </c>
      <c r="J23" s="47">
        <v>1377000.0</v>
      </c>
      <c r="K23" s="48" t="s">
        <v>945</v>
      </c>
      <c r="L23" s="41"/>
      <c r="N23" s="14"/>
      <c r="P23" s="41"/>
      <c r="Q23" s="41"/>
      <c r="R23" s="41"/>
    </row>
    <row r="24">
      <c r="A24" s="34" t="s">
        <v>1104</v>
      </c>
      <c r="B24" s="35" t="s">
        <v>17</v>
      </c>
      <c r="C24" s="36">
        <v>2025.0</v>
      </c>
      <c r="D24" s="36">
        <v>2.0</v>
      </c>
      <c r="E24" s="37">
        <v>46055.0</v>
      </c>
      <c r="F24" s="36">
        <v>1.0</v>
      </c>
      <c r="G24" s="35" t="s">
        <v>602</v>
      </c>
      <c r="H24" s="50" t="s">
        <v>176</v>
      </c>
      <c r="I24" s="35" t="s">
        <v>1105</v>
      </c>
      <c r="J24" s="39">
        <v>2423090.0</v>
      </c>
      <c r="K24" s="40" t="s">
        <v>945</v>
      </c>
      <c r="L24" s="41"/>
      <c r="N24" s="12"/>
      <c r="P24" s="41"/>
      <c r="Q24" s="41"/>
      <c r="R24" s="41"/>
    </row>
    <row r="25">
      <c r="A25" s="42" t="s">
        <v>1106</v>
      </c>
      <c r="B25" s="43" t="s">
        <v>17</v>
      </c>
      <c r="C25" s="44">
        <v>2025.0</v>
      </c>
      <c r="D25" s="44">
        <v>2.0</v>
      </c>
      <c r="E25" s="45">
        <v>46055.0</v>
      </c>
      <c r="F25" s="44">
        <v>1.0</v>
      </c>
      <c r="G25" s="43" t="s">
        <v>602</v>
      </c>
      <c r="H25" s="51" t="s">
        <v>183</v>
      </c>
      <c r="I25" s="53"/>
      <c r="J25" s="46">
        <v>400000.0</v>
      </c>
      <c r="K25" s="48" t="s">
        <v>945</v>
      </c>
      <c r="L25" s="41"/>
      <c r="N25" s="12"/>
      <c r="P25" s="41"/>
      <c r="Q25" s="41"/>
      <c r="R25" s="41"/>
    </row>
    <row r="26">
      <c r="A26" s="34" t="s">
        <v>1107</v>
      </c>
      <c r="B26" s="35" t="s">
        <v>17</v>
      </c>
      <c r="C26" s="36">
        <v>2025.0</v>
      </c>
      <c r="D26" s="36">
        <v>2.0</v>
      </c>
      <c r="E26" s="37">
        <v>46055.0</v>
      </c>
      <c r="F26" s="36">
        <v>1.0</v>
      </c>
      <c r="G26" s="35" t="s">
        <v>602</v>
      </c>
      <c r="H26" s="50" t="s">
        <v>188</v>
      </c>
      <c r="I26" s="52"/>
      <c r="J26" s="38">
        <v>100000.0</v>
      </c>
      <c r="K26" s="40" t="s">
        <v>945</v>
      </c>
    </row>
    <row r="27">
      <c r="A27" s="42" t="s">
        <v>1108</v>
      </c>
      <c r="B27" s="43" t="s">
        <v>17</v>
      </c>
      <c r="C27" s="44">
        <v>2025.0</v>
      </c>
      <c r="D27" s="44">
        <v>2.0</v>
      </c>
      <c r="E27" s="45">
        <v>46055.0</v>
      </c>
      <c r="F27" s="44">
        <v>1.0</v>
      </c>
      <c r="G27" s="43" t="s">
        <v>613</v>
      </c>
      <c r="H27" s="51" t="s">
        <v>1109</v>
      </c>
      <c r="I27" s="53"/>
      <c r="J27" s="47">
        <v>1800000.0</v>
      </c>
      <c r="K27" s="48" t="s">
        <v>945</v>
      </c>
    </row>
    <row r="28">
      <c r="A28" s="34" t="s">
        <v>1110</v>
      </c>
      <c r="B28" s="35" t="s">
        <v>17</v>
      </c>
      <c r="C28" s="36">
        <v>2025.0</v>
      </c>
      <c r="D28" s="36">
        <v>2.0</v>
      </c>
      <c r="E28" s="37">
        <v>46055.0</v>
      </c>
      <c r="F28" s="36">
        <v>1.0</v>
      </c>
      <c r="G28" s="35" t="s">
        <v>613</v>
      </c>
      <c r="H28" s="50" t="s">
        <v>211</v>
      </c>
      <c r="I28" s="52"/>
      <c r="J28" s="38">
        <v>982000.0</v>
      </c>
      <c r="K28" s="40" t="s">
        <v>945</v>
      </c>
    </row>
    <row r="29">
      <c r="A29" s="42" t="s">
        <v>1111</v>
      </c>
      <c r="B29" s="43" t="s">
        <v>17</v>
      </c>
      <c r="C29" s="44">
        <v>2025.0</v>
      </c>
      <c r="D29" s="44">
        <v>2.0</v>
      </c>
      <c r="E29" s="45">
        <v>46055.0</v>
      </c>
      <c r="F29" s="44">
        <v>1.0</v>
      </c>
      <c r="G29" s="43" t="s">
        <v>793</v>
      </c>
      <c r="H29" s="51" t="s">
        <v>1112</v>
      </c>
      <c r="I29" s="53"/>
      <c r="J29" s="47">
        <v>1700000.0</v>
      </c>
      <c r="K29" s="48" t="s">
        <v>945</v>
      </c>
    </row>
    <row r="30">
      <c r="A30" s="34" t="s">
        <v>1113</v>
      </c>
      <c r="B30" s="35" t="s">
        <v>17</v>
      </c>
      <c r="C30" s="36">
        <v>2025.0</v>
      </c>
      <c r="D30" s="36">
        <v>2.0</v>
      </c>
      <c r="E30" s="37">
        <v>46055.0</v>
      </c>
      <c r="F30" s="36">
        <v>1.0</v>
      </c>
      <c r="G30" s="35" t="s">
        <v>613</v>
      </c>
      <c r="H30" s="50" t="s">
        <v>200</v>
      </c>
      <c r="I30" s="52"/>
      <c r="J30" s="38">
        <v>110000.0</v>
      </c>
      <c r="K30" s="40" t="s">
        <v>945</v>
      </c>
    </row>
    <row r="31">
      <c r="A31" s="42" t="s">
        <v>1114</v>
      </c>
      <c r="B31" s="43" t="s">
        <v>17</v>
      </c>
      <c r="C31" s="44">
        <v>2025.0</v>
      </c>
      <c r="D31" s="44">
        <v>2.0</v>
      </c>
      <c r="E31" s="45">
        <v>46055.0</v>
      </c>
      <c r="F31" s="44">
        <v>1.0</v>
      </c>
      <c r="G31" s="43" t="s">
        <v>626</v>
      </c>
      <c r="H31" s="51" t="s">
        <v>248</v>
      </c>
      <c r="I31" s="53"/>
      <c r="J31" s="46">
        <v>880000.0</v>
      </c>
      <c r="K31" s="48" t="s">
        <v>945</v>
      </c>
    </row>
    <row r="32">
      <c r="A32" s="34" t="s">
        <v>1115</v>
      </c>
      <c r="B32" s="35" t="s">
        <v>17</v>
      </c>
      <c r="C32" s="36">
        <v>2025.0</v>
      </c>
      <c r="D32" s="36">
        <v>2.0</v>
      </c>
      <c r="E32" s="37">
        <v>46055.0</v>
      </c>
      <c r="F32" s="36">
        <v>1.0</v>
      </c>
      <c r="G32" s="35" t="s">
        <v>607</v>
      </c>
      <c r="H32" s="50" t="s">
        <v>270</v>
      </c>
      <c r="I32" s="35" t="s">
        <v>1116</v>
      </c>
      <c r="J32" s="39">
        <v>6500000.0</v>
      </c>
      <c r="K32" s="40" t="s">
        <v>945</v>
      </c>
    </row>
    <row r="33">
      <c r="A33" s="42" t="s">
        <v>1117</v>
      </c>
      <c r="B33" s="43" t="s">
        <v>17</v>
      </c>
      <c r="C33" s="44">
        <v>2025.0</v>
      </c>
      <c r="D33" s="44">
        <v>2.0</v>
      </c>
      <c r="E33" s="45">
        <v>46055.0</v>
      </c>
      <c r="F33" s="44">
        <v>1.0</v>
      </c>
      <c r="G33" s="43" t="s">
        <v>626</v>
      </c>
      <c r="H33" s="51" t="s">
        <v>243</v>
      </c>
      <c r="I33" s="53"/>
      <c r="J33" s="47">
        <v>1000000.0</v>
      </c>
      <c r="K33" s="48" t="s">
        <v>945</v>
      </c>
    </row>
    <row r="34">
      <c r="A34" s="34" t="s">
        <v>1118</v>
      </c>
      <c r="B34" s="35" t="s">
        <v>17</v>
      </c>
      <c r="C34" s="36">
        <v>2025.0</v>
      </c>
      <c r="D34" s="36">
        <v>2.0</v>
      </c>
      <c r="E34" s="37">
        <v>46055.0</v>
      </c>
      <c r="F34" s="36">
        <v>1.0</v>
      </c>
      <c r="G34" s="35" t="s">
        <v>613</v>
      </c>
      <c r="H34" s="50" t="s">
        <v>1119</v>
      </c>
      <c r="I34" s="52"/>
      <c r="J34" s="39">
        <v>5600000.0</v>
      </c>
      <c r="K34" s="40" t="s">
        <v>945</v>
      </c>
    </row>
    <row r="35">
      <c r="A35" s="42" t="s">
        <v>1120</v>
      </c>
      <c r="B35" s="43" t="s">
        <v>17</v>
      </c>
      <c r="C35" s="44">
        <v>2025.0</v>
      </c>
      <c r="D35" s="44">
        <v>2.0</v>
      </c>
      <c r="E35" s="45">
        <v>46055.0</v>
      </c>
      <c r="F35" s="44">
        <v>1.0</v>
      </c>
      <c r="G35" s="43" t="s">
        <v>626</v>
      </c>
      <c r="H35" s="51" t="s">
        <v>239</v>
      </c>
      <c r="I35" s="53"/>
      <c r="J35" s="46">
        <v>325000.0</v>
      </c>
      <c r="K35" s="48" t="s">
        <v>945</v>
      </c>
    </row>
    <row r="36">
      <c r="A36" s="34" t="s">
        <v>1121</v>
      </c>
      <c r="B36" s="35" t="s">
        <v>17</v>
      </c>
      <c r="C36" s="36">
        <v>2025.0</v>
      </c>
      <c r="D36" s="36">
        <v>2.0</v>
      </c>
      <c r="E36" s="37">
        <v>46069.0</v>
      </c>
      <c r="F36" s="36">
        <v>2.0</v>
      </c>
      <c r="G36" s="35" t="s">
        <v>602</v>
      </c>
      <c r="H36" s="50" t="s">
        <v>169</v>
      </c>
      <c r="I36" s="35" t="s">
        <v>1122</v>
      </c>
      <c r="J36" s="39">
        <v>1126000.0</v>
      </c>
      <c r="K36" s="40" t="s">
        <v>945</v>
      </c>
    </row>
    <row r="37">
      <c r="A37" s="42" t="s">
        <v>1123</v>
      </c>
      <c r="B37" s="43" t="s">
        <v>17</v>
      </c>
      <c r="C37" s="44">
        <v>2025.0</v>
      </c>
      <c r="D37" s="44">
        <v>2.0</v>
      </c>
      <c r="E37" s="45">
        <v>46069.0</v>
      </c>
      <c r="F37" s="44">
        <v>2.0</v>
      </c>
      <c r="G37" s="43" t="s">
        <v>602</v>
      </c>
      <c r="H37" s="51" t="s">
        <v>176</v>
      </c>
      <c r="I37" s="43" t="s">
        <v>1124</v>
      </c>
      <c r="J37" s="47">
        <v>2681000.0</v>
      </c>
      <c r="K37" s="48" t="s">
        <v>945</v>
      </c>
    </row>
    <row r="38">
      <c r="A38" s="34" t="s">
        <v>1125</v>
      </c>
      <c r="B38" s="35" t="s">
        <v>17</v>
      </c>
      <c r="C38" s="36">
        <v>2025.0</v>
      </c>
      <c r="D38" s="36">
        <v>2.0</v>
      </c>
      <c r="E38" s="37">
        <v>46069.0</v>
      </c>
      <c r="F38" s="36">
        <v>2.0</v>
      </c>
      <c r="G38" s="35" t="s">
        <v>602</v>
      </c>
      <c r="H38" s="50" t="s">
        <v>183</v>
      </c>
      <c r="I38" s="52"/>
      <c r="J38" s="38">
        <v>400000.0</v>
      </c>
      <c r="K38" s="40" t="s">
        <v>945</v>
      </c>
    </row>
    <row r="39">
      <c r="A39" s="42" t="s">
        <v>1126</v>
      </c>
      <c r="B39" s="43" t="s">
        <v>17</v>
      </c>
      <c r="C39" s="44">
        <v>2025.0</v>
      </c>
      <c r="D39" s="44">
        <v>2.0</v>
      </c>
      <c r="E39" s="45">
        <v>46069.0</v>
      </c>
      <c r="F39" s="44">
        <v>2.0</v>
      </c>
      <c r="G39" s="43" t="s">
        <v>602</v>
      </c>
      <c r="H39" s="51" t="s">
        <v>188</v>
      </c>
      <c r="I39" s="53"/>
      <c r="J39" s="46">
        <v>150000.0</v>
      </c>
      <c r="K39" s="48" t="s">
        <v>945</v>
      </c>
    </row>
    <row r="40">
      <c r="A40" s="34" t="s">
        <v>1127</v>
      </c>
      <c r="B40" s="35" t="s">
        <v>17</v>
      </c>
      <c r="C40" s="36">
        <v>2025.0</v>
      </c>
      <c r="D40" s="36">
        <v>2.0</v>
      </c>
      <c r="E40" s="37">
        <v>46069.0</v>
      </c>
      <c r="F40" s="36">
        <v>2.0</v>
      </c>
      <c r="G40" s="35" t="s">
        <v>613</v>
      </c>
      <c r="H40" s="50" t="s">
        <v>233</v>
      </c>
      <c r="I40" s="52"/>
      <c r="J40" s="39">
        <v>3500000.0</v>
      </c>
      <c r="K40" s="40" t="s">
        <v>945</v>
      </c>
    </row>
    <row r="41">
      <c r="A41" s="42" t="s">
        <v>1128</v>
      </c>
      <c r="B41" s="43" t="s">
        <v>17</v>
      </c>
      <c r="C41" s="44">
        <v>2025.0</v>
      </c>
      <c r="D41" s="44">
        <v>2.0</v>
      </c>
      <c r="E41" s="45">
        <v>46069.0</v>
      </c>
      <c r="F41" s="44">
        <v>2.0</v>
      </c>
      <c r="G41" s="43" t="s">
        <v>613</v>
      </c>
      <c r="H41" s="51" t="s">
        <v>1129</v>
      </c>
      <c r="I41" s="53"/>
      <c r="J41" s="46">
        <v>150000.0</v>
      </c>
      <c r="K41" s="48" t="s">
        <v>945</v>
      </c>
    </row>
    <row r="42">
      <c r="A42" s="34" t="s">
        <v>1130</v>
      </c>
      <c r="B42" s="35" t="s">
        <v>17</v>
      </c>
      <c r="C42" s="36">
        <v>2025.0</v>
      </c>
      <c r="D42" s="36">
        <v>2.0</v>
      </c>
      <c r="E42" s="37">
        <v>46069.0</v>
      </c>
      <c r="F42" s="36">
        <v>2.0</v>
      </c>
      <c r="G42" s="35" t="s">
        <v>613</v>
      </c>
      <c r="H42" s="50" t="s">
        <v>1131</v>
      </c>
      <c r="I42" s="52"/>
      <c r="J42" s="38">
        <v>200000.0</v>
      </c>
      <c r="K42" s="40" t="s">
        <v>945</v>
      </c>
    </row>
    <row r="43">
      <c r="A43" s="42" t="s">
        <v>1132</v>
      </c>
      <c r="B43" s="43" t="s">
        <v>17</v>
      </c>
      <c r="C43" s="44">
        <v>2025.0</v>
      </c>
      <c r="D43" s="44">
        <v>2.0</v>
      </c>
      <c r="E43" s="45">
        <v>46069.0</v>
      </c>
      <c r="F43" s="44">
        <v>2.0</v>
      </c>
      <c r="G43" s="43" t="s">
        <v>613</v>
      </c>
      <c r="H43" s="51" t="s">
        <v>246</v>
      </c>
      <c r="I43" s="53"/>
      <c r="J43" s="46">
        <v>100000.0</v>
      </c>
      <c r="K43" s="48" t="s">
        <v>945</v>
      </c>
    </row>
    <row r="44">
      <c r="A44" s="34" t="s">
        <v>1133</v>
      </c>
      <c r="B44" s="35" t="s">
        <v>17</v>
      </c>
      <c r="C44" s="36">
        <v>2025.0</v>
      </c>
      <c r="D44" s="36">
        <v>2.0</v>
      </c>
      <c r="E44" s="37">
        <v>46069.0</v>
      </c>
      <c r="F44" s="36">
        <v>2.0</v>
      </c>
      <c r="G44" s="35" t="s">
        <v>626</v>
      </c>
      <c r="H44" s="50" t="s">
        <v>248</v>
      </c>
      <c r="I44" s="52"/>
      <c r="J44" s="39">
        <v>4780000.0</v>
      </c>
      <c r="K44" s="40" t="s">
        <v>945</v>
      </c>
    </row>
    <row r="45">
      <c r="A45" s="42" t="s">
        <v>1134</v>
      </c>
      <c r="B45" s="43" t="s">
        <v>17</v>
      </c>
      <c r="C45" s="44">
        <v>2025.0</v>
      </c>
      <c r="D45" s="44">
        <v>2.0</v>
      </c>
      <c r="E45" s="45">
        <v>46069.0</v>
      </c>
      <c r="F45" s="44">
        <v>2.0</v>
      </c>
      <c r="G45" s="43" t="s">
        <v>626</v>
      </c>
      <c r="H45" s="51" t="s">
        <v>239</v>
      </c>
      <c r="I45" s="53"/>
      <c r="J45" s="46">
        <v>650000.0</v>
      </c>
      <c r="K45" s="48" t="s">
        <v>945</v>
      </c>
    </row>
    <row r="46">
      <c r="A46" s="34" t="s">
        <v>1135</v>
      </c>
      <c r="B46" s="35" t="s">
        <v>17</v>
      </c>
      <c r="C46" s="36">
        <v>2025.0</v>
      </c>
      <c r="D46" s="36">
        <v>2.0</v>
      </c>
      <c r="E46" s="37">
        <v>46069.0</v>
      </c>
      <c r="F46" s="36">
        <v>2.0</v>
      </c>
      <c r="G46" s="35" t="s">
        <v>237</v>
      </c>
      <c r="H46" s="50" t="s">
        <v>237</v>
      </c>
      <c r="I46" s="35" t="s">
        <v>1136</v>
      </c>
      <c r="J46" s="39">
        <v>8000000.0</v>
      </c>
      <c r="K46" s="40" t="s">
        <v>945</v>
      </c>
    </row>
    <row r="47">
      <c r="A47" s="42" t="s">
        <v>1137</v>
      </c>
      <c r="B47" s="43" t="s">
        <v>17</v>
      </c>
      <c r="C47" s="44">
        <v>2025.0</v>
      </c>
      <c r="D47" s="44">
        <v>2.0</v>
      </c>
      <c r="E47" s="45">
        <v>46069.0</v>
      </c>
      <c r="F47" s="44">
        <v>2.0</v>
      </c>
      <c r="G47" s="43" t="s">
        <v>613</v>
      </c>
      <c r="H47" s="51" t="s">
        <v>1138</v>
      </c>
      <c r="I47" s="53"/>
      <c r="J47" s="46">
        <v>80000.0</v>
      </c>
      <c r="K47" s="48" t="s">
        <v>945</v>
      </c>
    </row>
    <row r="48">
      <c r="A48" s="34" t="s">
        <v>1139</v>
      </c>
      <c r="B48" s="35" t="s">
        <v>17</v>
      </c>
      <c r="C48" s="36">
        <v>2025.0</v>
      </c>
      <c r="D48" s="36">
        <v>3.0</v>
      </c>
      <c r="E48" s="37">
        <v>46085.0</v>
      </c>
      <c r="F48" s="36">
        <v>1.0</v>
      </c>
      <c r="G48" s="35" t="s">
        <v>602</v>
      </c>
      <c r="H48" s="50" t="s">
        <v>169</v>
      </c>
      <c r="I48" s="35" t="s">
        <v>1140</v>
      </c>
      <c r="J48" s="39">
        <v>1653000.0</v>
      </c>
      <c r="K48" s="40" t="s">
        <v>945</v>
      </c>
    </row>
    <row r="49">
      <c r="A49" s="42" t="s">
        <v>1141</v>
      </c>
      <c r="B49" s="43" t="s">
        <v>17</v>
      </c>
      <c r="C49" s="44">
        <v>2025.0</v>
      </c>
      <c r="D49" s="44">
        <v>3.0</v>
      </c>
      <c r="E49" s="45">
        <v>46085.0</v>
      </c>
      <c r="F49" s="44">
        <v>1.0</v>
      </c>
      <c r="G49" s="43" t="s">
        <v>602</v>
      </c>
      <c r="H49" s="51" t="s">
        <v>176</v>
      </c>
      <c r="I49" s="43" t="s">
        <v>1142</v>
      </c>
      <c r="J49" s="47">
        <v>2953000.0</v>
      </c>
      <c r="K49" s="48" t="s">
        <v>945</v>
      </c>
    </row>
    <row r="50">
      <c r="A50" s="34" t="s">
        <v>1143</v>
      </c>
      <c r="B50" s="35" t="s">
        <v>17</v>
      </c>
      <c r="C50" s="36">
        <v>2025.0</v>
      </c>
      <c r="D50" s="36">
        <v>3.0</v>
      </c>
      <c r="E50" s="37">
        <v>46085.0</v>
      </c>
      <c r="F50" s="36">
        <v>1.0</v>
      </c>
      <c r="G50" s="35" t="s">
        <v>602</v>
      </c>
      <c r="H50" s="50" t="s">
        <v>183</v>
      </c>
      <c r="I50" s="52"/>
      <c r="J50" s="38">
        <v>550000.0</v>
      </c>
      <c r="K50" s="40" t="s">
        <v>945</v>
      </c>
    </row>
    <row r="51">
      <c r="A51" s="42" t="s">
        <v>1144</v>
      </c>
      <c r="B51" s="43" t="s">
        <v>17</v>
      </c>
      <c r="C51" s="44">
        <v>2025.0</v>
      </c>
      <c r="D51" s="44">
        <v>3.0</v>
      </c>
      <c r="E51" s="45">
        <v>46085.0</v>
      </c>
      <c r="F51" s="44">
        <v>1.0</v>
      </c>
      <c r="G51" s="43" t="s">
        <v>602</v>
      </c>
      <c r="H51" s="51" t="s">
        <v>188</v>
      </c>
      <c r="I51" s="53"/>
      <c r="J51" s="46">
        <v>150000.0</v>
      </c>
      <c r="K51" s="48" t="s">
        <v>945</v>
      </c>
    </row>
    <row r="52">
      <c r="A52" s="34" t="s">
        <v>1145</v>
      </c>
      <c r="B52" s="35" t="s">
        <v>17</v>
      </c>
      <c r="C52" s="36">
        <v>2025.0</v>
      </c>
      <c r="D52" s="36">
        <v>3.0</v>
      </c>
      <c r="E52" s="37">
        <v>46085.0</v>
      </c>
      <c r="F52" s="36">
        <v>1.0</v>
      </c>
      <c r="G52" s="35" t="s">
        <v>613</v>
      </c>
      <c r="H52" s="50" t="s">
        <v>200</v>
      </c>
      <c r="I52" s="52"/>
      <c r="J52" s="38">
        <v>260000.0</v>
      </c>
      <c r="K52" s="40" t="s">
        <v>945</v>
      </c>
    </row>
    <row r="53">
      <c r="A53" s="42" t="s">
        <v>1146</v>
      </c>
      <c r="B53" s="43" t="s">
        <v>17</v>
      </c>
      <c r="C53" s="44">
        <v>2025.0</v>
      </c>
      <c r="D53" s="44">
        <v>3.0</v>
      </c>
      <c r="E53" s="45">
        <v>46085.0</v>
      </c>
      <c r="F53" s="44">
        <v>1.0</v>
      </c>
      <c r="G53" s="43" t="s">
        <v>613</v>
      </c>
      <c r="H53" s="51" t="s">
        <v>1147</v>
      </c>
      <c r="I53" s="53"/>
      <c r="J53" s="47">
        <v>1140000.0</v>
      </c>
      <c r="K53" s="48" t="s">
        <v>945</v>
      </c>
    </row>
    <row r="54">
      <c r="A54" s="34" t="s">
        <v>1148</v>
      </c>
      <c r="B54" s="35" t="s">
        <v>17</v>
      </c>
      <c r="C54" s="36">
        <v>2025.0</v>
      </c>
      <c r="D54" s="36">
        <v>3.0</v>
      </c>
      <c r="E54" s="37">
        <v>46085.0</v>
      </c>
      <c r="F54" s="36">
        <v>1.0</v>
      </c>
      <c r="G54" s="35" t="s">
        <v>237</v>
      </c>
      <c r="H54" s="50" t="s">
        <v>237</v>
      </c>
      <c r="I54" s="52"/>
      <c r="J54" s="39">
        <v>2500000.0</v>
      </c>
      <c r="K54" s="40" t="s">
        <v>945</v>
      </c>
    </row>
    <row r="55">
      <c r="A55" s="42" t="s">
        <v>1149</v>
      </c>
      <c r="B55" s="43" t="s">
        <v>17</v>
      </c>
      <c r="C55" s="44">
        <v>2025.0</v>
      </c>
      <c r="D55" s="44">
        <v>3.0</v>
      </c>
      <c r="E55" s="45">
        <v>46085.0</v>
      </c>
      <c r="F55" s="44">
        <v>1.0</v>
      </c>
      <c r="G55" s="43" t="s">
        <v>607</v>
      </c>
      <c r="H55" s="51" t="s">
        <v>302</v>
      </c>
      <c r="I55" s="43" t="s">
        <v>1150</v>
      </c>
      <c r="J55" s="47">
        <v>1.89E7</v>
      </c>
      <c r="K55" s="48" t="s">
        <v>945</v>
      </c>
    </row>
    <row r="56">
      <c r="A56" s="34" t="s">
        <v>1151</v>
      </c>
      <c r="B56" s="35" t="s">
        <v>17</v>
      </c>
      <c r="C56" s="36">
        <v>2025.0</v>
      </c>
      <c r="D56" s="36">
        <v>3.0</v>
      </c>
      <c r="E56" s="37">
        <v>46085.0</v>
      </c>
      <c r="F56" s="36">
        <v>1.0</v>
      </c>
      <c r="G56" s="35" t="s">
        <v>607</v>
      </c>
      <c r="H56" s="50" t="s">
        <v>275</v>
      </c>
      <c r="I56" s="52"/>
      <c r="J56" s="38">
        <v>300000.0</v>
      </c>
      <c r="K56" s="40" t="s">
        <v>945</v>
      </c>
    </row>
    <row r="57">
      <c r="A57" s="42" t="s">
        <v>1152</v>
      </c>
      <c r="B57" s="43" t="s">
        <v>17</v>
      </c>
      <c r="C57" s="44">
        <v>2025.0</v>
      </c>
      <c r="D57" s="44">
        <v>3.0</v>
      </c>
      <c r="E57" s="45">
        <v>46085.0</v>
      </c>
      <c r="F57" s="44">
        <v>1.0</v>
      </c>
      <c r="G57" s="43" t="s">
        <v>626</v>
      </c>
      <c r="H57" s="51" t="s">
        <v>239</v>
      </c>
      <c r="I57" s="53"/>
      <c r="J57" s="47">
        <v>4700000.0</v>
      </c>
      <c r="K57" s="48" t="s">
        <v>945</v>
      </c>
    </row>
    <row r="58">
      <c r="A58" s="34" t="s">
        <v>1153</v>
      </c>
      <c r="B58" s="35" t="s">
        <v>17</v>
      </c>
      <c r="C58" s="36">
        <v>2025.0</v>
      </c>
      <c r="D58" s="36">
        <v>3.0</v>
      </c>
      <c r="E58" s="37">
        <v>46085.0</v>
      </c>
      <c r="F58" s="36">
        <v>1.0</v>
      </c>
      <c r="G58" s="35" t="s">
        <v>613</v>
      </c>
      <c r="H58" s="50" t="s">
        <v>1154</v>
      </c>
      <c r="I58" s="52"/>
      <c r="J58" s="39">
        <v>3650000.0</v>
      </c>
      <c r="K58" s="40" t="s">
        <v>945</v>
      </c>
    </row>
    <row r="59">
      <c r="A59" s="42" t="s">
        <v>1155</v>
      </c>
      <c r="B59" s="43" t="s">
        <v>17</v>
      </c>
      <c r="C59" s="44">
        <v>2025.0</v>
      </c>
      <c r="D59" s="44">
        <v>3.0</v>
      </c>
      <c r="E59" s="45">
        <v>46085.0</v>
      </c>
      <c r="F59" s="44">
        <v>1.0</v>
      </c>
      <c r="G59" s="43" t="s">
        <v>1156</v>
      </c>
      <c r="H59" s="51" t="s">
        <v>938</v>
      </c>
      <c r="I59" s="53"/>
      <c r="J59" s="47">
        <v>8100000.0</v>
      </c>
      <c r="K59" s="48" t="s">
        <v>945</v>
      </c>
    </row>
    <row r="60">
      <c r="A60" s="34" t="s">
        <v>1157</v>
      </c>
      <c r="B60" s="35" t="s">
        <v>17</v>
      </c>
      <c r="C60" s="36">
        <v>2025.0</v>
      </c>
      <c r="D60" s="36">
        <v>3.0</v>
      </c>
      <c r="E60" s="37">
        <v>46085.0</v>
      </c>
      <c r="F60" s="36">
        <v>1.0</v>
      </c>
      <c r="G60" s="35" t="s">
        <v>613</v>
      </c>
      <c r="H60" s="50" t="s">
        <v>211</v>
      </c>
      <c r="I60" s="52"/>
      <c r="J60" s="38">
        <v>780000.0</v>
      </c>
      <c r="K60" s="40" t="s">
        <v>945</v>
      </c>
    </row>
    <row r="61">
      <c r="A61" s="42" t="s">
        <v>1158</v>
      </c>
      <c r="B61" s="43" t="s">
        <v>17</v>
      </c>
      <c r="C61" s="44">
        <v>2025.0</v>
      </c>
      <c r="D61" s="44">
        <v>3.0</v>
      </c>
      <c r="E61" s="45">
        <v>46085.0</v>
      </c>
      <c r="F61" s="44">
        <v>1.0</v>
      </c>
      <c r="G61" s="43" t="s">
        <v>613</v>
      </c>
      <c r="H61" s="51" t="s">
        <v>1159</v>
      </c>
      <c r="I61" s="53"/>
      <c r="J61" s="47">
        <v>2050000.0</v>
      </c>
      <c r="K61" s="48" t="s">
        <v>945</v>
      </c>
    </row>
    <row r="62">
      <c r="A62" s="34" t="s">
        <v>1160</v>
      </c>
      <c r="B62" s="35" t="s">
        <v>17</v>
      </c>
      <c r="C62" s="36">
        <v>2025.0</v>
      </c>
      <c r="D62" s="36">
        <v>3.0</v>
      </c>
      <c r="E62" s="37">
        <v>46085.0</v>
      </c>
      <c r="F62" s="36">
        <v>1.0</v>
      </c>
      <c r="G62" s="35" t="s">
        <v>613</v>
      </c>
      <c r="H62" s="50" t="s">
        <v>1161</v>
      </c>
      <c r="I62" s="52"/>
      <c r="J62" s="38">
        <v>130000.0</v>
      </c>
      <c r="K62" s="40" t="s">
        <v>945</v>
      </c>
    </row>
    <row r="63">
      <c r="A63" s="42" t="s">
        <v>1162</v>
      </c>
      <c r="B63" s="43" t="s">
        <v>17</v>
      </c>
      <c r="C63" s="44">
        <v>2025.0</v>
      </c>
      <c r="D63" s="44">
        <v>3.0</v>
      </c>
      <c r="E63" s="45">
        <v>46099.0</v>
      </c>
      <c r="F63" s="44">
        <v>2.0</v>
      </c>
      <c r="G63" s="43" t="s">
        <v>602</v>
      </c>
      <c r="H63" s="51" t="s">
        <v>169</v>
      </c>
      <c r="I63" s="43" t="s">
        <v>1163</v>
      </c>
      <c r="J63" s="47">
        <v>1622000.0</v>
      </c>
      <c r="K63" s="48" t="s">
        <v>945</v>
      </c>
    </row>
    <row r="64">
      <c r="A64" s="34" t="s">
        <v>1164</v>
      </c>
      <c r="B64" s="35" t="s">
        <v>17</v>
      </c>
      <c r="C64" s="36">
        <v>2025.0</v>
      </c>
      <c r="D64" s="36">
        <v>3.0</v>
      </c>
      <c r="E64" s="37">
        <v>46099.0</v>
      </c>
      <c r="F64" s="36">
        <v>2.0</v>
      </c>
      <c r="G64" s="35" t="s">
        <v>602</v>
      </c>
      <c r="H64" s="50" t="s">
        <v>176</v>
      </c>
      <c r="I64" s="35" t="s">
        <v>1165</v>
      </c>
      <c r="J64" s="39">
        <v>2801000.0</v>
      </c>
      <c r="K64" s="40" t="s">
        <v>945</v>
      </c>
    </row>
    <row r="65">
      <c r="A65" s="42" t="s">
        <v>1166</v>
      </c>
      <c r="B65" s="43" t="s">
        <v>17</v>
      </c>
      <c r="C65" s="44">
        <v>2025.0</v>
      </c>
      <c r="D65" s="44">
        <v>3.0</v>
      </c>
      <c r="E65" s="45">
        <v>46099.0</v>
      </c>
      <c r="F65" s="44">
        <v>2.0</v>
      </c>
      <c r="G65" s="43" t="s">
        <v>602</v>
      </c>
      <c r="H65" s="51" t="s">
        <v>183</v>
      </c>
      <c r="I65" s="53"/>
      <c r="J65" s="46">
        <v>400000.0</v>
      </c>
      <c r="K65" s="48" t="s">
        <v>945</v>
      </c>
    </row>
    <row r="66">
      <c r="A66" s="34" t="s">
        <v>1167</v>
      </c>
      <c r="B66" s="35" t="s">
        <v>17</v>
      </c>
      <c r="C66" s="36">
        <v>2025.0</v>
      </c>
      <c r="D66" s="36">
        <v>3.0</v>
      </c>
      <c r="E66" s="37">
        <v>46099.0</v>
      </c>
      <c r="F66" s="36">
        <v>2.0</v>
      </c>
      <c r="G66" s="35" t="s">
        <v>602</v>
      </c>
      <c r="H66" s="50" t="s">
        <v>188</v>
      </c>
      <c r="I66" s="52"/>
      <c r="J66" s="38">
        <v>150000.0</v>
      </c>
      <c r="K66" s="40" t="s">
        <v>945</v>
      </c>
    </row>
    <row r="67">
      <c r="A67" s="42" t="s">
        <v>1168</v>
      </c>
      <c r="B67" s="43" t="s">
        <v>17</v>
      </c>
      <c r="C67" s="44">
        <v>2025.0</v>
      </c>
      <c r="D67" s="44">
        <v>3.0</v>
      </c>
      <c r="E67" s="45">
        <v>46099.0</v>
      </c>
      <c r="F67" s="44">
        <v>2.0</v>
      </c>
      <c r="G67" s="43" t="s">
        <v>613</v>
      </c>
      <c r="H67" s="51" t="s">
        <v>233</v>
      </c>
      <c r="I67" s="53"/>
      <c r="J67" s="47">
        <v>3500000.0</v>
      </c>
      <c r="K67" s="48" t="s">
        <v>945</v>
      </c>
    </row>
    <row r="68">
      <c r="A68" s="34" t="s">
        <v>1169</v>
      </c>
      <c r="B68" s="35" t="s">
        <v>17</v>
      </c>
      <c r="C68" s="36">
        <v>2025.0</v>
      </c>
      <c r="D68" s="36">
        <v>3.0</v>
      </c>
      <c r="E68" s="37">
        <v>46099.0</v>
      </c>
      <c r="F68" s="36">
        <v>2.0</v>
      </c>
      <c r="G68" s="35" t="s">
        <v>626</v>
      </c>
      <c r="H68" s="50" t="s">
        <v>243</v>
      </c>
      <c r="I68" s="52"/>
      <c r="J68" s="39">
        <v>1000000.0</v>
      </c>
      <c r="K68" s="40" t="s">
        <v>945</v>
      </c>
    </row>
    <row r="69">
      <c r="A69" s="42" t="s">
        <v>1170</v>
      </c>
      <c r="B69" s="43" t="s">
        <v>17</v>
      </c>
      <c r="C69" s="44">
        <v>2025.0</v>
      </c>
      <c r="D69" s="44">
        <v>3.0</v>
      </c>
      <c r="E69" s="45">
        <v>46099.0</v>
      </c>
      <c r="F69" s="44">
        <v>2.0</v>
      </c>
      <c r="G69" s="43" t="s">
        <v>607</v>
      </c>
      <c r="H69" s="51" t="s">
        <v>197</v>
      </c>
      <c r="I69" s="43" t="s">
        <v>1171</v>
      </c>
      <c r="J69" s="47">
        <v>6625000.0</v>
      </c>
      <c r="K69" s="48" t="s">
        <v>945</v>
      </c>
    </row>
    <row r="70">
      <c r="A70" s="34" t="s">
        <v>1172</v>
      </c>
      <c r="B70" s="35" t="s">
        <v>17</v>
      </c>
      <c r="C70" s="36">
        <v>2025.0</v>
      </c>
      <c r="D70" s="36">
        <v>3.0</v>
      </c>
      <c r="E70" s="37">
        <v>46099.0</v>
      </c>
      <c r="F70" s="36">
        <v>2.0</v>
      </c>
      <c r="G70" s="35" t="s">
        <v>613</v>
      </c>
      <c r="H70" s="50" t="s">
        <v>1131</v>
      </c>
      <c r="I70" s="52"/>
      <c r="J70" s="38">
        <v>200000.0</v>
      </c>
      <c r="K70" s="40" t="s">
        <v>945</v>
      </c>
    </row>
    <row r="71">
      <c r="A71" s="42" t="s">
        <v>1173</v>
      </c>
      <c r="B71" s="43" t="s">
        <v>17</v>
      </c>
      <c r="C71" s="44">
        <v>2025.0</v>
      </c>
      <c r="D71" s="44">
        <v>3.0</v>
      </c>
      <c r="E71" s="45">
        <v>46099.0</v>
      </c>
      <c r="F71" s="44">
        <v>2.0</v>
      </c>
      <c r="G71" s="43" t="s">
        <v>626</v>
      </c>
      <c r="H71" s="51" t="s">
        <v>239</v>
      </c>
      <c r="I71" s="43" t="s">
        <v>247</v>
      </c>
      <c r="J71" s="46">
        <v>300000.0</v>
      </c>
      <c r="K71" s="48" t="s">
        <v>945</v>
      </c>
    </row>
    <row r="72">
      <c r="A72" s="34" t="s">
        <v>1174</v>
      </c>
      <c r="B72" s="35" t="s">
        <v>17</v>
      </c>
      <c r="C72" s="36">
        <v>2025.0</v>
      </c>
      <c r="D72" s="36">
        <v>3.0</v>
      </c>
      <c r="E72" s="37">
        <v>46099.0</v>
      </c>
      <c r="F72" s="36">
        <v>2.0</v>
      </c>
      <c r="G72" s="35" t="s">
        <v>607</v>
      </c>
      <c r="H72" s="50" t="s">
        <v>275</v>
      </c>
      <c r="I72" s="52"/>
      <c r="J72" s="38">
        <v>200000.0</v>
      </c>
      <c r="K72" s="40" t="s">
        <v>945</v>
      </c>
    </row>
    <row r="73">
      <c r="A73" s="42" t="s">
        <v>1175</v>
      </c>
      <c r="B73" s="43" t="s">
        <v>17</v>
      </c>
      <c r="C73" s="44">
        <v>2025.0</v>
      </c>
      <c r="D73" s="44">
        <v>3.0</v>
      </c>
      <c r="E73" s="45">
        <v>46099.0</v>
      </c>
      <c r="F73" s="44">
        <v>2.0</v>
      </c>
      <c r="G73" s="43" t="s">
        <v>613</v>
      </c>
      <c r="H73" s="51" t="s">
        <v>200</v>
      </c>
      <c r="I73" s="53"/>
      <c r="J73" s="46">
        <v>150000.0</v>
      </c>
      <c r="K73" s="48" t="s">
        <v>945</v>
      </c>
    </row>
    <row r="74">
      <c r="A74" s="34" t="s">
        <v>1176</v>
      </c>
      <c r="B74" s="35" t="s">
        <v>17</v>
      </c>
      <c r="C74" s="36">
        <v>2025.0</v>
      </c>
      <c r="D74" s="36">
        <v>3.0</v>
      </c>
      <c r="E74" s="37">
        <v>46099.0</v>
      </c>
      <c r="F74" s="36">
        <v>2.0</v>
      </c>
      <c r="G74" s="35" t="s">
        <v>602</v>
      </c>
      <c r="H74" s="50" t="s">
        <v>1177</v>
      </c>
      <c r="I74" s="52"/>
      <c r="J74" s="38">
        <v>130000.0</v>
      </c>
      <c r="K74" s="40" t="s">
        <v>945</v>
      </c>
    </row>
    <row r="75">
      <c r="A75" s="42" t="s">
        <v>1178</v>
      </c>
      <c r="B75" s="43" t="s">
        <v>17</v>
      </c>
      <c r="C75" s="44">
        <v>2025.0</v>
      </c>
      <c r="D75" s="44">
        <v>4.0</v>
      </c>
      <c r="E75" s="54"/>
      <c r="F75" s="44">
        <v>1.0</v>
      </c>
      <c r="G75" s="43" t="s">
        <v>602</v>
      </c>
      <c r="H75" s="51" t="s">
        <v>169</v>
      </c>
      <c r="I75" s="43" t="s">
        <v>1179</v>
      </c>
      <c r="J75" s="47">
        <v>1976000.0</v>
      </c>
      <c r="K75" s="48" t="s">
        <v>945</v>
      </c>
    </row>
    <row r="76">
      <c r="A76" s="34" t="s">
        <v>1180</v>
      </c>
      <c r="B76" s="35" t="s">
        <v>17</v>
      </c>
      <c r="C76" s="36">
        <v>2025.0</v>
      </c>
      <c r="D76" s="36">
        <v>4.0</v>
      </c>
      <c r="E76" s="49"/>
      <c r="F76" s="36">
        <v>1.0</v>
      </c>
      <c r="G76" s="35" t="s">
        <v>602</v>
      </c>
      <c r="H76" s="50" t="s">
        <v>176</v>
      </c>
      <c r="I76" s="35" t="s">
        <v>1181</v>
      </c>
      <c r="J76" s="39">
        <v>2767000.0</v>
      </c>
      <c r="K76" s="40" t="s">
        <v>945</v>
      </c>
    </row>
    <row r="77">
      <c r="A77" s="42" t="s">
        <v>1182</v>
      </c>
      <c r="B77" s="43" t="s">
        <v>17</v>
      </c>
      <c r="C77" s="44">
        <v>2025.0</v>
      </c>
      <c r="D77" s="44">
        <v>4.0</v>
      </c>
      <c r="E77" s="54"/>
      <c r="F77" s="44">
        <v>1.0</v>
      </c>
      <c r="G77" s="43" t="s">
        <v>602</v>
      </c>
      <c r="H77" s="51" t="s">
        <v>183</v>
      </c>
      <c r="I77" s="53"/>
      <c r="J77" s="46">
        <v>400000.0</v>
      </c>
      <c r="K77" s="48" t="s">
        <v>945</v>
      </c>
    </row>
    <row r="78">
      <c r="A78" s="34" t="s">
        <v>1183</v>
      </c>
      <c r="B78" s="35" t="s">
        <v>17</v>
      </c>
      <c r="C78" s="36">
        <v>2025.0</v>
      </c>
      <c r="D78" s="36">
        <v>4.0</v>
      </c>
      <c r="E78" s="49"/>
      <c r="F78" s="36">
        <v>1.0</v>
      </c>
      <c r="G78" s="35" t="s">
        <v>602</v>
      </c>
      <c r="H78" s="50" t="s">
        <v>188</v>
      </c>
      <c r="I78" s="52"/>
      <c r="J78" s="38">
        <v>150000.0</v>
      </c>
      <c r="K78" s="40" t="s">
        <v>945</v>
      </c>
    </row>
    <row r="79">
      <c r="A79" s="42" t="s">
        <v>1184</v>
      </c>
      <c r="B79" s="43" t="s">
        <v>17</v>
      </c>
      <c r="C79" s="44">
        <v>2025.0</v>
      </c>
      <c r="D79" s="44">
        <v>4.0</v>
      </c>
      <c r="E79" s="54"/>
      <c r="F79" s="44">
        <v>1.0</v>
      </c>
      <c r="G79" s="43" t="s">
        <v>626</v>
      </c>
      <c r="H79" s="51" t="s">
        <v>243</v>
      </c>
      <c r="I79" s="53"/>
      <c r="J79" s="47">
        <v>1500000.0</v>
      </c>
      <c r="K79" s="48" t="s">
        <v>945</v>
      </c>
    </row>
    <row r="80">
      <c r="A80" s="34" t="s">
        <v>1185</v>
      </c>
      <c r="B80" s="35" t="s">
        <v>17</v>
      </c>
      <c r="C80" s="36">
        <v>2025.0</v>
      </c>
      <c r="D80" s="36">
        <v>4.0</v>
      </c>
      <c r="E80" s="49"/>
      <c r="F80" s="36">
        <v>1.0</v>
      </c>
      <c r="G80" s="35" t="s">
        <v>613</v>
      </c>
      <c r="H80" s="50" t="s">
        <v>1186</v>
      </c>
      <c r="I80" s="52"/>
      <c r="J80" s="39">
        <v>4650000.0</v>
      </c>
      <c r="K80" s="40" t="s">
        <v>945</v>
      </c>
    </row>
    <row r="81">
      <c r="A81" s="42" t="s">
        <v>1187</v>
      </c>
      <c r="B81" s="43" t="s">
        <v>17</v>
      </c>
      <c r="C81" s="44">
        <v>2025.0</v>
      </c>
      <c r="D81" s="44">
        <v>4.0</v>
      </c>
      <c r="E81" s="54"/>
      <c r="F81" s="44">
        <v>1.0</v>
      </c>
      <c r="G81" s="43" t="s">
        <v>613</v>
      </c>
      <c r="H81" s="51" t="s">
        <v>1188</v>
      </c>
      <c r="I81" s="53"/>
      <c r="J81" s="47">
        <v>5700000.0</v>
      </c>
      <c r="K81" s="48" t="s">
        <v>945</v>
      </c>
    </row>
    <row r="82">
      <c r="A82" s="34" t="s">
        <v>1189</v>
      </c>
      <c r="B82" s="35" t="s">
        <v>17</v>
      </c>
      <c r="C82" s="36">
        <v>2025.0</v>
      </c>
      <c r="D82" s="36">
        <v>4.0</v>
      </c>
      <c r="E82" s="49"/>
      <c r="F82" s="36">
        <v>1.0</v>
      </c>
      <c r="G82" s="35" t="s">
        <v>607</v>
      </c>
      <c r="H82" s="50" t="s">
        <v>197</v>
      </c>
      <c r="I82" s="52"/>
      <c r="J82" s="38">
        <v>975000.0</v>
      </c>
      <c r="K82" s="40" t="s">
        <v>945</v>
      </c>
    </row>
    <row r="83">
      <c r="A83" s="42" t="s">
        <v>1190</v>
      </c>
      <c r="B83" s="43" t="s">
        <v>17</v>
      </c>
      <c r="C83" s="44">
        <v>2025.0</v>
      </c>
      <c r="D83" s="44">
        <v>4.0</v>
      </c>
      <c r="E83" s="54"/>
      <c r="F83" s="44">
        <v>1.0</v>
      </c>
      <c r="G83" s="43" t="s">
        <v>626</v>
      </c>
      <c r="H83" s="51" t="s">
        <v>248</v>
      </c>
      <c r="I83" s="53"/>
      <c r="J83" s="47">
        <v>1180000.0</v>
      </c>
      <c r="K83" s="48" t="s">
        <v>945</v>
      </c>
    </row>
    <row r="84">
      <c r="A84" s="34" t="s">
        <v>1191</v>
      </c>
      <c r="B84" s="35" t="s">
        <v>17</v>
      </c>
      <c r="C84" s="36">
        <v>2025.0</v>
      </c>
      <c r="D84" s="36">
        <v>4.0</v>
      </c>
      <c r="E84" s="49"/>
      <c r="F84" s="36">
        <v>1.0</v>
      </c>
      <c r="G84" s="35" t="s">
        <v>613</v>
      </c>
      <c r="H84" s="50" t="s">
        <v>200</v>
      </c>
      <c r="I84" s="52"/>
      <c r="J84" s="38">
        <v>260000.0</v>
      </c>
      <c r="K84" s="40" t="s">
        <v>945</v>
      </c>
    </row>
    <row r="85">
      <c r="A85" s="42" t="s">
        <v>1192</v>
      </c>
      <c r="B85" s="43" t="s">
        <v>17</v>
      </c>
      <c r="C85" s="44">
        <v>2025.0</v>
      </c>
      <c r="D85" s="44">
        <v>4.0</v>
      </c>
      <c r="E85" s="54"/>
      <c r="F85" s="44">
        <v>1.0</v>
      </c>
      <c r="G85" s="43" t="s">
        <v>613</v>
      </c>
      <c r="H85" s="51" t="s">
        <v>935</v>
      </c>
      <c r="I85" s="53"/>
      <c r="J85" s="47">
        <v>3070000.0</v>
      </c>
      <c r="K85" s="48" t="s">
        <v>945</v>
      </c>
    </row>
    <row r="86">
      <c r="A86" s="34" t="s">
        <v>1193</v>
      </c>
      <c r="B86" s="35" t="s">
        <v>17</v>
      </c>
      <c r="C86" s="36">
        <v>2025.0</v>
      </c>
      <c r="D86" s="36">
        <v>4.0</v>
      </c>
      <c r="E86" s="49"/>
      <c r="F86" s="36">
        <v>1.0</v>
      </c>
      <c r="G86" s="35" t="s">
        <v>613</v>
      </c>
      <c r="H86" s="50" t="s">
        <v>1194</v>
      </c>
      <c r="I86" s="52"/>
      <c r="J86" s="39">
        <v>6250000.0</v>
      </c>
      <c r="K86" s="40" t="s">
        <v>945</v>
      </c>
    </row>
    <row r="87">
      <c r="A87" s="42" t="s">
        <v>1195</v>
      </c>
      <c r="B87" s="43" t="s">
        <v>17</v>
      </c>
      <c r="C87" s="44">
        <v>2025.0</v>
      </c>
      <c r="D87" s="44">
        <v>4.0</v>
      </c>
      <c r="E87" s="54"/>
      <c r="F87" s="44">
        <v>1.0</v>
      </c>
      <c r="G87" s="43" t="s">
        <v>1156</v>
      </c>
      <c r="H87" s="51" t="s">
        <v>938</v>
      </c>
      <c r="I87" s="53"/>
      <c r="J87" s="46">
        <v>750000.0</v>
      </c>
      <c r="K87" s="48" t="s">
        <v>945</v>
      </c>
    </row>
    <row r="88">
      <c r="A88" s="34" t="s">
        <v>1196</v>
      </c>
      <c r="B88" s="35" t="s">
        <v>17</v>
      </c>
      <c r="C88" s="36">
        <v>2025.0</v>
      </c>
      <c r="D88" s="36">
        <v>4.0</v>
      </c>
      <c r="E88" s="49"/>
      <c r="F88" s="36">
        <v>1.0</v>
      </c>
      <c r="G88" s="35" t="s">
        <v>607</v>
      </c>
      <c r="H88" s="50" t="s">
        <v>340</v>
      </c>
      <c r="I88" s="35" t="s">
        <v>1197</v>
      </c>
      <c r="J88" s="39">
        <v>3.4675E7</v>
      </c>
      <c r="K88" s="40" t="s">
        <v>945</v>
      </c>
    </row>
    <row r="89">
      <c r="A89" s="42" t="s">
        <v>1198</v>
      </c>
      <c r="B89" s="43" t="s">
        <v>17</v>
      </c>
      <c r="C89" s="44">
        <v>2025.0</v>
      </c>
      <c r="D89" s="44">
        <v>4.0</v>
      </c>
      <c r="E89" s="54"/>
      <c r="F89" s="44">
        <v>1.0</v>
      </c>
      <c r="G89" s="43" t="s">
        <v>607</v>
      </c>
      <c r="H89" s="51" t="s">
        <v>933</v>
      </c>
      <c r="I89" s="43" t="s">
        <v>1199</v>
      </c>
      <c r="J89" s="47">
        <v>7315000.0</v>
      </c>
      <c r="K89" s="48" t="s">
        <v>945</v>
      </c>
    </row>
    <row r="90">
      <c r="A90" s="34" t="s">
        <v>1200</v>
      </c>
      <c r="B90" s="35" t="s">
        <v>17</v>
      </c>
      <c r="C90" s="36">
        <v>2025.0</v>
      </c>
      <c r="D90" s="36">
        <v>4.0</v>
      </c>
      <c r="E90" s="37">
        <v>46120.0</v>
      </c>
      <c r="F90" s="36">
        <v>2.0</v>
      </c>
      <c r="G90" s="35" t="s">
        <v>602</v>
      </c>
      <c r="H90" s="50" t="s">
        <v>169</v>
      </c>
      <c r="I90" s="35" t="s">
        <v>1201</v>
      </c>
      <c r="J90" s="39">
        <v>3815000.0</v>
      </c>
      <c r="K90" s="40" t="s">
        <v>945</v>
      </c>
    </row>
    <row r="91">
      <c r="A91" s="42" t="s">
        <v>1202</v>
      </c>
      <c r="B91" s="43" t="s">
        <v>17</v>
      </c>
      <c r="C91" s="44">
        <v>2025.0</v>
      </c>
      <c r="D91" s="44">
        <v>4.0</v>
      </c>
      <c r="E91" s="45">
        <v>46120.0</v>
      </c>
      <c r="F91" s="44">
        <v>2.0</v>
      </c>
      <c r="G91" s="43" t="s">
        <v>602</v>
      </c>
      <c r="H91" s="51" t="s">
        <v>176</v>
      </c>
      <c r="I91" s="43" t="s">
        <v>1203</v>
      </c>
      <c r="J91" s="47">
        <v>7930000.0</v>
      </c>
      <c r="K91" s="48" t="s">
        <v>945</v>
      </c>
    </row>
    <row r="92">
      <c r="A92" s="34" t="s">
        <v>1204</v>
      </c>
      <c r="B92" s="35" t="s">
        <v>17</v>
      </c>
      <c r="C92" s="36">
        <v>2025.0</v>
      </c>
      <c r="D92" s="36">
        <v>4.0</v>
      </c>
      <c r="E92" s="37">
        <v>46120.0</v>
      </c>
      <c r="F92" s="36">
        <v>2.0</v>
      </c>
      <c r="G92" s="35" t="s">
        <v>602</v>
      </c>
      <c r="H92" s="50" t="s">
        <v>183</v>
      </c>
      <c r="I92" s="52"/>
      <c r="J92" s="39">
        <v>1000000.0</v>
      </c>
      <c r="K92" s="40" t="s">
        <v>945</v>
      </c>
    </row>
    <row r="93">
      <c r="A93" s="42" t="s">
        <v>1205</v>
      </c>
      <c r="B93" s="43" t="s">
        <v>17</v>
      </c>
      <c r="C93" s="44">
        <v>2025.0</v>
      </c>
      <c r="D93" s="44">
        <v>4.0</v>
      </c>
      <c r="E93" s="45">
        <v>46120.0</v>
      </c>
      <c r="F93" s="44">
        <v>2.0</v>
      </c>
      <c r="G93" s="43" t="s">
        <v>602</v>
      </c>
      <c r="H93" s="51" t="s">
        <v>188</v>
      </c>
      <c r="I93" s="53"/>
      <c r="J93" s="46">
        <v>350000.0</v>
      </c>
      <c r="K93" s="48" t="s">
        <v>945</v>
      </c>
    </row>
    <row r="94">
      <c r="A94" s="34" t="s">
        <v>1206</v>
      </c>
      <c r="B94" s="35" t="s">
        <v>17</v>
      </c>
      <c r="C94" s="36">
        <v>2025.0</v>
      </c>
      <c r="D94" s="36">
        <v>4.0</v>
      </c>
      <c r="E94" s="37">
        <v>46120.0</v>
      </c>
      <c r="F94" s="36">
        <v>2.0</v>
      </c>
      <c r="G94" s="35" t="s">
        <v>626</v>
      </c>
      <c r="H94" s="50" t="s">
        <v>243</v>
      </c>
      <c r="I94" s="52"/>
      <c r="J94" s="39">
        <v>2250000.0</v>
      </c>
      <c r="K94" s="40" t="s">
        <v>945</v>
      </c>
    </row>
    <row r="95">
      <c r="A95" s="42" t="s">
        <v>1207</v>
      </c>
      <c r="B95" s="43" t="s">
        <v>17</v>
      </c>
      <c r="C95" s="44">
        <v>2025.0</v>
      </c>
      <c r="D95" s="44">
        <v>4.0</v>
      </c>
      <c r="E95" s="45">
        <v>46120.0</v>
      </c>
      <c r="F95" s="44">
        <v>2.0</v>
      </c>
      <c r="G95" s="43" t="s">
        <v>613</v>
      </c>
      <c r="H95" s="51" t="s">
        <v>200</v>
      </c>
      <c r="I95" s="53"/>
      <c r="J95" s="46">
        <v>100000.0</v>
      </c>
      <c r="K95" s="48" t="s">
        <v>945</v>
      </c>
    </row>
    <row r="96">
      <c r="A96" s="34" t="s">
        <v>1208</v>
      </c>
      <c r="B96" s="35" t="s">
        <v>17</v>
      </c>
      <c r="C96" s="36">
        <v>2025.0</v>
      </c>
      <c r="D96" s="36">
        <v>4.0</v>
      </c>
      <c r="E96" s="37">
        <v>46120.0</v>
      </c>
      <c r="F96" s="36">
        <v>2.0</v>
      </c>
      <c r="G96" s="35" t="s">
        <v>613</v>
      </c>
      <c r="H96" s="50" t="s">
        <v>935</v>
      </c>
      <c r="I96" s="52"/>
      <c r="J96" s="39">
        <v>2352000.0</v>
      </c>
      <c r="K96" s="40" t="s">
        <v>945</v>
      </c>
    </row>
    <row r="97">
      <c r="A97" s="42" t="s">
        <v>1209</v>
      </c>
      <c r="B97" s="43" t="s">
        <v>17</v>
      </c>
      <c r="C97" s="44">
        <v>2025.0</v>
      </c>
      <c r="D97" s="44">
        <v>4.0</v>
      </c>
      <c r="E97" s="45">
        <v>46120.0</v>
      </c>
      <c r="F97" s="44">
        <v>2.0</v>
      </c>
      <c r="G97" s="43" t="s">
        <v>613</v>
      </c>
      <c r="H97" s="51" t="s">
        <v>1210</v>
      </c>
      <c r="I97" s="53"/>
      <c r="J97" s="47">
        <v>8500000.0</v>
      </c>
      <c r="K97" s="48" t="s">
        <v>945</v>
      </c>
    </row>
    <row r="98">
      <c r="A98" s="34" t="s">
        <v>1211</v>
      </c>
      <c r="B98" s="35" t="s">
        <v>17</v>
      </c>
      <c r="C98" s="36">
        <v>2025.0</v>
      </c>
      <c r="D98" s="36">
        <v>4.0</v>
      </c>
      <c r="E98" s="37">
        <v>46120.0</v>
      </c>
      <c r="F98" s="36">
        <v>2.0</v>
      </c>
      <c r="G98" s="35" t="s">
        <v>1156</v>
      </c>
      <c r="H98" s="50" t="s">
        <v>938</v>
      </c>
      <c r="I98" s="52"/>
      <c r="J98" s="39">
        <v>6000000.0</v>
      </c>
      <c r="K98" s="40" t="s">
        <v>945</v>
      </c>
    </row>
    <row r="99">
      <c r="A99" s="42" t="s">
        <v>1212</v>
      </c>
      <c r="B99" s="43" t="s">
        <v>17</v>
      </c>
      <c r="C99" s="44">
        <v>2025.0</v>
      </c>
      <c r="D99" s="44">
        <v>4.0</v>
      </c>
      <c r="E99" s="45">
        <v>46120.0</v>
      </c>
      <c r="F99" s="44">
        <v>2.0</v>
      </c>
      <c r="G99" s="43" t="s">
        <v>607</v>
      </c>
      <c r="H99" s="51" t="s">
        <v>197</v>
      </c>
      <c r="I99" s="53"/>
      <c r="J99" s="47">
        <v>2375000.0</v>
      </c>
      <c r="K99" s="48" t="s">
        <v>945</v>
      </c>
    </row>
    <row r="100">
      <c r="A100" s="34" t="s">
        <v>1213</v>
      </c>
      <c r="B100" s="35" t="s">
        <v>17</v>
      </c>
      <c r="C100" s="36">
        <v>2025.0</v>
      </c>
      <c r="D100" s="36">
        <v>4.0</v>
      </c>
      <c r="E100" s="37">
        <v>46120.0</v>
      </c>
      <c r="F100" s="36">
        <v>2.0</v>
      </c>
      <c r="G100" s="35" t="s">
        <v>626</v>
      </c>
      <c r="H100" s="50" t="s">
        <v>248</v>
      </c>
      <c r="I100" s="52"/>
      <c r="J100" s="39">
        <v>4585000.0</v>
      </c>
      <c r="K100" s="40" t="s">
        <v>945</v>
      </c>
    </row>
    <row r="101">
      <c r="A101" s="42" t="s">
        <v>1214</v>
      </c>
      <c r="B101" s="43" t="s">
        <v>17</v>
      </c>
      <c r="C101" s="44">
        <v>2025.0</v>
      </c>
      <c r="D101" s="44">
        <v>4.0</v>
      </c>
      <c r="E101" s="45">
        <v>46120.0</v>
      </c>
      <c r="F101" s="44">
        <v>2.0</v>
      </c>
      <c r="G101" s="43" t="s">
        <v>607</v>
      </c>
      <c r="H101" s="51" t="s">
        <v>275</v>
      </c>
      <c r="I101" s="53"/>
      <c r="J101" s="46">
        <v>300000.0</v>
      </c>
      <c r="K101" s="48" t="s">
        <v>945</v>
      </c>
    </row>
    <row r="102">
      <c r="A102" s="34" t="s">
        <v>1215</v>
      </c>
      <c r="B102" s="35" t="s">
        <v>17</v>
      </c>
      <c r="C102" s="36">
        <v>2025.0</v>
      </c>
      <c r="D102" s="36">
        <v>5.0</v>
      </c>
      <c r="E102" s="37">
        <v>46134.0</v>
      </c>
      <c r="F102" s="36">
        <v>1.0</v>
      </c>
      <c r="G102" s="35" t="s">
        <v>602</v>
      </c>
      <c r="H102" s="50" t="s">
        <v>169</v>
      </c>
      <c r="I102" s="35" t="s">
        <v>1216</v>
      </c>
      <c r="J102" s="39">
        <v>2398000.0</v>
      </c>
      <c r="K102" s="40" t="s">
        <v>945</v>
      </c>
    </row>
    <row r="103">
      <c r="A103" s="42" t="s">
        <v>1217</v>
      </c>
      <c r="B103" s="43" t="s">
        <v>17</v>
      </c>
      <c r="C103" s="44">
        <v>2025.0</v>
      </c>
      <c r="D103" s="44">
        <v>5.0</v>
      </c>
      <c r="E103" s="45">
        <v>46134.0</v>
      </c>
      <c r="F103" s="44">
        <v>1.0</v>
      </c>
      <c r="G103" s="43" t="s">
        <v>602</v>
      </c>
      <c r="H103" s="51" t="s">
        <v>176</v>
      </c>
      <c r="I103" s="43" t="s">
        <v>1218</v>
      </c>
      <c r="J103" s="47">
        <v>4378190.0</v>
      </c>
      <c r="K103" s="48" t="s">
        <v>945</v>
      </c>
    </row>
    <row r="104">
      <c r="A104" s="34" t="s">
        <v>1219</v>
      </c>
      <c r="B104" s="35" t="s">
        <v>17</v>
      </c>
      <c r="C104" s="36">
        <v>2025.0</v>
      </c>
      <c r="D104" s="36">
        <v>5.0</v>
      </c>
      <c r="E104" s="37">
        <v>46134.0</v>
      </c>
      <c r="F104" s="36">
        <v>1.0</v>
      </c>
      <c r="G104" s="35" t="s">
        <v>602</v>
      </c>
      <c r="H104" s="50" t="s">
        <v>183</v>
      </c>
      <c r="I104" s="52"/>
      <c r="J104" s="38">
        <v>500000.0</v>
      </c>
      <c r="K104" s="40" t="s">
        <v>945</v>
      </c>
    </row>
    <row r="105">
      <c r="A105" s="42" t="s">
        <v>1220</v>
      </c>
      <c r="B105" s="43" t="s">
        <v>17</v>
      </c>
      <c r="C105" s="44">
        <v>2025.0</v>
      </c>
      <c r="D105" s="44">
        <v>5.0</v>
      </c>
      <c r="E105" s="45">
        <v>46134.0</v>
      </c>
      <c r="F105" s="44">
        <v>1.0</v>
      </c>
      <c r="G105" s="43" t="s">
        <v>602</v>
      </c>
      <c r="H105" s="51" t="s">
        <v>188</v>
      </c>
      <c r="I105" s="53"/>
      <c r="J105" s="46">
        <v>200000.0</v>
      </c>
      <c r="K105" s="48" t="s">
        <v>945</v>
      </c>
    </row>
    <row r="106">
      <c r="A106" s="34" t="s">
        <v>1221</v>
      </c>
      <c r="B106" s="35" t="s">
        <v>17</v>
      </c>
      <c r="C106" s="36">
        <v>2025.0</v>
      </c>
      <c r="D106" s="36">
        <v>5.0</v>
      </c>
      <c r="E106" s="37">
        <v>46134.0</v>
      </c>
      <c r="F106" s="36">
        <v>1.0</v>
      </c>
      <c r="G106" s="35" t="s">
        <v>237</v>
      </c>
      <c r="H106" s="50" t="s">
        <v>237</v>
      </c>
      <c r="I106" s="35" t="s">
        <v>1222</v>
      </c>
      <c r="J106" s="39">
        <v>5000000.0</v>
      </c>
      <c r="K106" s="40" t="s">
        <v>945</v>
      </c>
    </row>
    <row r="107">
      <c r="A107" s="42" t="s">
        <v>1223</v>
      </c>
      <c r="B107" s="43" t="s">
        <v>17</v>
      </c>
      <c r="C107" s="44">
        <v>2025.0</v>
      </c>
      <c r="D107" s="44">
        <v>5.0</v>
      </c>
      <c r="E107" s="45">
        <v>46134.0</v>
      </c>
      <c r="F107" s="44">
        <v>1.0</v>
      </c>
      <c r="G107" s="43" t="s">
        <v>607</v>
      </c>
      <c r="H107" s="51" t="s">
        <v>1224</v>
      </c>
      <c r="I107" s="43" t="s">
        <v>1225</v>
      </c>
      <c r="J107" s="47">
        <v>3.42E7</v>
      </c>
      <c r="K107" s="48" t="s">
        <v>945</v>
      </c>
    </row>
    <row r="108">
      <c r="A108" s="34" t="s">
        <v>1226</v>
      </c>
      <c r="B108" s="35" t="s">
        <v>17</v>
      </c>
      <c r="C108" s="36">
        <v>2025.0</v>
      </c>
      <c r="D108" s="36">
        <v>5.0</v>
      </c>
      <c r="E108" s="37">
        <v>46134.0</v>
      </c>
      <c r="F108" s="36">
        <v>1.0</v>
      </c>
      <c r="G108" s="35" t="s">
        <v>607</v>
      </c>
      <c r="H108" s="50" t="s">
        <v>197</v>
      </c>
      <c r="I108" s="35" t="s">
        <v>1227</v>
      </c>
      <c r="J108" s="39">
        <v>2375000.0</v>
      </c>
      <c r="K108" s="40" t="s">
        <v>945</v>
      </c>
    </row>
    <row r="109">
      <c r="A109" s="42" t="s">
        <v>1228</v>
      </c>
      <c r="B109" s="43" t="s">
        <v>17</v>
      </c>
      <c r="C109" s="44">
        <v>2025.0</v>
      </c>
      <c r="D109" s="44">
        <v>5.0</v>
      </c>
      <c r="E109" s="45">
        <v>46134.0</v>
      </c>
      <c r="F109" s="44">
        <v>1.0</v>
      </c>
      <c r="G109" s="43" t="s">
        <v>607</v>
      </c>
      <c r="H109" s="51" t="s">
        <v>275</v>
      </c>
      <c r="I109" s="53"/>
      <c r="J109" s="46">
        <v>350000.0</v>
      </c>
      <c r="K109" s="48" t="s">
        <v>945</v>
      </c>
    </row>
    <row r="110">
      <c r="A110" s="34" t="s">
        <v>1229</v>
      </c>
      <c r="B110" s="35" t="s">
        <v>17</v>
      </c>
      <c r="C110" s="36">
        <v>2025.0</v>
      </c>
      <c r="D110" s="36">
        <v>5.0</v>
      </c>
      <c r="E110" s="37">
        <v>46134.0</v>
      </c>
      <c r="F110" s="36">
        <v>1.0</v>
      </c>
      <c r="G110" s="35" t="s">
        <v>607</v>
      </c>
      <c r="H110" s="50" t="s">
        <v>1230</v>
      </c>
      <c r="I110" s="52"/>
      <c r="J110" s="38">
        <v>10000.0</v>
      </c>
      <c r="K110" s="40" t="s">
        <v>945</v>
      </c>
    </row>
    <row r="111">
      <c r="A111" s="42" t="s">
        <v>1231</v>
      </c>
      <c r="B111" s="43" t="s">
        <v>17</v>
      </c>
      <c r="C111" s="44">
        <v>2025.0</v>
      </c>
      <c r="D111" s="44">
        <v>5.0</v>
      </c>
      <c r="E111" s="45">
        <v>46134.0</v>
      </c>
      <c r="F111" s="44">
        <v>1.0</v>
      </c>
      <c r="G111" s="43" t="s">
        <v>613</v>
      </c>
      <c r="H111" s="51" t="s">
        <v>413</v>
      </c>
      <c r="I111" s="53"/>
      <c r="J111" s="46">
        <v>110000.0</v>
      </c>
      <c r="K111" s="48" t="s">
        <v>945</v>
      </c>
    </row>
    <row r="112">
      <c r="A112" s="34" t="s">
        <v>1232</v>
      </c>
      <c r="B112" s="35" t="s">
        <v>17</v>
      </c>
      <c r="C112" s="36">
        <v>2025.0</v>
      </c>
      <c r="D112" s="36">
        <v>5.0</v>
      </c>
      <c r="E112" s="37">
        <v>46134.0</v>
      </c>
      <c r="F112" s="36">
        <v>1.0</v>
      </c>
      <c r="G112" s="35" t="s">
        <v>613</v>
      </c>
      <c r="H112" s="50" t="s">
        <v>1194</v>
      </c>
      <c r="I112" s="52"/>
      <c r="J112" s="39">
        <v>2250000.0</v>
      </c>
      <c r="K112" s="40" t="s">
        <v>945</v>
      </c>
    </row>
    <row r="113">
      <c r="A113" s="42" t="s">
        <v>1233</v>
      </c>
      <c r="B113" s="43" t="s">
        <v>17</v>
      </c>
      <c r="C113" s="44">
        <v>2025.0</v>
      </c>
      <c r="D113" s="44">
        <v>5.0</v>
      </c>
      <c r="E113" s="45">
        <v>46134.0</v>
      </c>
      <c r="F113" s="44">
        <v>1.0</v>
      </c>
      <c r="G113" s="43" t="s">
        <v>613</v>
      </c>
      <c r="H113" s="51" t="s">
        <v>1234</v>
      </c>
      <c r="I113" s="53"/>
      <c r="J113" s="47">
        <v>1000000.0</v>
      </c>
      <c r="K113" s="48" t="s">
        <v>945</v>
      </c>
    </row>
    <row r="114">
      <c r="A114" s="34" t="s">
        <v>1235</v>
      </c>
      <c r="B114" s="35" t="s">
        <v>17</v>
      </c>
      <c r="C114" s="36">
        <v>2025.0</v>
      </c>
      <c r="D114" s="36">
        <v>5.0</v>
      </c>
      <c r="E114" s="37">
        <v>46134.0</v>
      </c>
      <c r="F114" s="36">
        <v>1.0</v>
      </c>
      <c r="G114" s="35" t="s">
        <v>613</v>
      </c>
      <c r="H114" s="50" t="s">
        <v>211</v>
      </c>
      <c r="I114" s="52"/>
      <c r="J114" s="39">
        <v>1084000.0</v>
      </c>
      <c r="K114" s="40" t="s">
        <v>945</v>
      </c>
    </row>
    <row r="115">
      <c r="A115" s="42" t="s">
        <v>1236</v>
      </c>
      <c r="B115" s="43" t="s">
        <v>17</v>
      </c>
      <c r="C115" s="44">
        <v>2025.0</v>
      </c>
      <c r="D115" s="44">
        <v>5.0</v>
      </c>
      <c r="E115" s="45">
        <v>46134.0</v>
      </c>
      <c r="F115" s="44">
        <v>1.0</v>
      </c>
      <c r="G115" s="43" t="s">
        <v>613</v>
      </c>
      <c r="H115" s="51" t="s">
        <v>235</v>
      </c>
      <c r="I115" s="53"/>
      <c r="J115" s="46">
        <v>600000.0</v>
      </c>
      <c r="K115" s="48" t="s">
        <v>945</v>
      </c>
    </row>
    <row r="116">
      <c r="A116" s="34" t="s">
        <v>1237</v>
      </c>
      <c r="B116" s="35" t="s">
        <v>17</v>
      </c>
      <c r="C116" s="36">
        <v>2025.0</v>
      </c>
      <c r="D116" s="36">
        <v>5.0</v>
      </c>
      <c r="E116" s="37">
        <v>46134.0</v>
      </c>
      <c r="F116" s="36">
        <v>1.0</v>
      </c>
      <c r="G116" s="35" t="s">
        <v>613</v>
      </c>
      <c r="H116" s="50" t="s">
        <v>1238</v>
      </c>
      <c r="I116" s="52"/>
      <c r="J116" s="38">
        <v>75000.0</v>
      </c>
      <c r="K116" s="40" t="s">
        <v>945</v>
      </c>
    </row>
    <row r="117">
      <c r="A117" s="42" t="s">
        <v>1239</v>
      </c>
      <c r="B117" s="43" t="s">
        <v>17</v>
      </c>
      <c r="C117" s="44">
        <v>2025.0</v>
      </c>
      <c r="D117" s="44">
        <v>5.0</v>
      </c>
      <c r="E117" s="45">
        <v>46148.0</v>
      </c>
      <c r="F117" s="44">
        <v>2.0</v>
      </c>
      <c r="G117" s="43" t="s">
        <v>602</v>
      </c>
      <c r="H117" s="51" t="s">
        <v>169</v>
      </c>
      <c r="I117" s="43" t="s">
        <v>1240</v>
      </c>
      <c r="J117" s="47">
        <v>1745300.0</v>
      </c>
      <c r="K117" s="48" t="s">
        <v>945</v>
      </c>
    </row>
    <row r="118">
      <c r="A118" s="34" t="s">
        <v>1241</v>
      </c>
      <c r="B118" s="35" t="s">
        <v>17</v>
      </c>
      <c r="C118" s="36">
        <v>2025.0</v>
      </c>
      <c r="D118" s="36">
        <v>5.0</v>
      </c>
      <c r="E118" s="37">
        <v>46148.0</v>
      </c>
      <c r="F118" s="36">
        <v>2.0</v>
      </c>
      <c r="G118" s="35" t="s">
        <v>602</v>
      </c>
      <c r="H118" s="50" t="s">
        <v>176</v>
      </c>
      <c r="I118" s="35" t="s">
        <v>1242</v>
      </c>
      <c r="J118" s="39">
        <v>3306850.0</v>
      </c>
      <c r="K118" s="40" t="s">
        <v>945</v>
      </c>
    </row>
    <row r="119">
      <c r="A119" s="42" t="s">
        <v>1243</v>
      </c>
      <c r="B119" s="43" t="s">
        <v>17</v>
      </c>
      <c r="C119" s="44">
        <v>2025.0</v>
      </c>
      <c r="D119" s="44">
        <v>5.0</v>
      </c>
      <c r="E119" s="45">
        <v>46148.0</v>
      </c>
      <c r="F119" s="44">
        <v>2.0</v>
      </c>
      <c r="G119" s="43" t="s">
        <v>602</v>
      </c>
      <c r="H119" s="51" t="s">
        <v>183</v>
      </c>
      <c r="I119" s="53"/>
      <c r="J119" s="46">
        <v>500000.0</v>
      </c>
      <c r="K119" s="48" t="s">
        <v>945</v>
      </c>
    </row>
    <row r="120">
      <c r="A120" s="34" t="s">
        <v>1244</v>
      </c>
      <c r="B120" s="35" t="s">
        <v>17</v>
      </c>
      <c r="C120" s="36">
        <v>2025.0</v>
      </c>
      <c r="D120" s="36">
        <v>5.0</v>
      </c>
      <c r="E120" s="37">
        <v>46148.0</v>
      </c>
      <c r="F120" s="36">
        <v>2.0</v>
      </c>
      <c r="G120" s="35" t="s">
        <v>602</v>
      </c>
      <c r="H120" s="50" t="s">
        <v>188</v>
      </c>
      <c r="I120" s="52"/>
      <c r="J120" s="38">
        <v>150000.0</v>
      </c>
      <c r="K120" s="40" t="s">
        <v>945</v>
      </c>
    </row>
    <row r="121">
      <c r="A121" s="42" t="s">
        <v>1245</v>
      </c>
      <c r="B121" s="43" t="s">
        <v>17</v>
      </c>
      <c r="C121" s="44">
        <v>2025.0</v>
      </c>
      <c r="D121" s="44">
        <v>5.0</v>
      </c>
      <c r="E121" s="45">
        <v>46148.0</v>
      </c>
      <c r="F121" s="44">
        <v>2.0</v>
      </c>
      <c r="G121" s="43" t="s">
        <v>613</v>
      </c>
      <c r="H121" s="51" t="s">
        <v>1246</v>
      </c>
      <c r="I121" s="53"/>
      <c r="J121" s="47">
        <v>1070000.0</v>
      </c>
      <c r="K121" s="48" t="s">
        <v>945</v>
      </c>
    </row>
    <row r="122">
      <c r="A122" s="34" t="s">
        <v>1247</v>
      </c>
      <c r="B122" s="35" t="s">
        <v>17</v>
      </c>
      <c r="C122" s="36">
        <v>2025.0</v>
      </c>
      <c r="D122" s="36">
        <v>5.0</v>
      </c>
      <c r="E122" s="37">
        <v>46148.0</v>
      </c>
      <c r="F122" s="36">
        <v>2.0</v>
      </c>
      <c r="G122" s="35" t="s">
        <v>613</v>
      </c>
      <c r="H122" s="50" t="s">
        <v>1248</v>
      </c>
      <c r="I122" s="52"/>
      <c r="J122" s="38">
        <v>180000.0</v>
      </c>
      <c r="K122" s="40" t="s">
        <v>945</v>
      </c>
    </row>
    <row r="123">
      <c r="A123" s="42" t="s">
        <v>1249</v>
      </c>
      <c r="B123" s="43" t="s">
        <v>17</v>
      </c>
      <c r="C123" s="44">
        <v>2025.0</v>
      </c>
      <c r="D123" s="44">
        <v>5.0</v>
      </c>
      <c r="E123" s="45">
        <v>46148.0</v>
      </c>
      <c r="F123" s="44">
        <v>2.0</v>
      </c>
      <c r="G123" s="43" t="s">
        <v>237</v>
      </c>
      <c r="H123" s="51" t="s">
        <v>237</v>
      </c>
      <c r="I123" s="43" t="s">
        <v>1250</v>
      </c>
      <c r="J123" s="47">
        <v>2.05E7</v>
      </c>
      <c r="K123" s="48" t="s">
        <v>945</v>
      </c>
    </row>
    <row r="124">
      <c r="A124" s="34" t="s">
        <v>1251</v>
      </c>
      <c r="B124" s="35" t="s">
        <v>17</v>
      </c>
      <c r="C124" s="36">
        <v>2025.0</v>
      </c>
      <c r="D124" s="36">
        <v>5.0</v>
      </c>
      <c r="E124" s="37">
        <v>46148.0</v>
      </c>
      <c r="F124" s="36">
        <v>2.0</v>
      </c>
      <c r="G124" s="35" t="s">
        <v>613</v>
      </c>
      <c r="H124" s="50" t="s">
        <v>1252</v>
      </c>
      <c r="I124" s="52"/>
      <c r="J124" s="39">
        <v>6450000.0</v>
      </c>
      <c r="K124" s="40" t="s">
        <v>945</v>
      </c>
    </row>
    <row r="125">
      <c r="A125" s="42" t="s">
        <v>1253</v>
      </c>
      <c r="B125" s="43" t="s">
        <v>17</v>
      </c>
      <c r="C125" s="44">
        <v>2025.0</v>
      </c>
      <c r="D125" s="44">
        <v>5.0</v>
      </c>
      <c r="E125" s="45">
        <v>46148.0</v>
      </c>
      <c r="F125" s="44">
        <v>2.0</v>
      </c>
      <c r="G125" s="43" t="s">
        <v>793</v>
      </c>
      <c r="H125" s="51" t="s">
        <v>793</v>
      </c>
      <c r="I125" s="53"/>
      <c r="J125" s="47">
        <v>2.32E7</v>
      </c>
      <c r="K125" s="48" t="s">
        <v>945</v>
      </c>
    </row>
    <row r="126">
      <c r="A126" s="34" t="s">
        <v>1254</v>
      </c>
      <c r="B126" s="35" t="s">
        <v>17</v>
      </c>
      <c r="C126" s="36">
        <v>2025.0</v>
      </c>
      <c r="D126" s="36">
        <v>5.0</v>
      </c>
      <c r="E126" s="37">
        <v>46148.0</v>
      </c>
      <c r="F126" s="36">
        <v>2.0</v>
      </c>
      <c r="G126" s="35" t="s">
        <v>1156</v>
      </c>
      <c r="H126" s="50" t="s">
        <v>938</v>
      </c>
      <c r="I126" s="52"/>
      <c r="J126" s="39">
        <v>1680000.0</v>
      </c>
      <c r="K126" s="40" t="s">
        <v>945</v>
      </c>
    </row>
    <row r="127">
      <c r="A127" s="42" t="s">
        <v>1255</v>
      </c>
      <c r="B127" s="43" t="s">
        <v>17</v>
      </c>
      <c r="C127" s="44">
        <v>2025.0</v>
      </c>
      <c r="D127" s="44">
        <v>5.0</v>
      </c>
      <c r="E127" s="45">
        <v>46148.0</v>
      </c>
      <c r="F127" s="44">
        <v>2.0</v>
      </c>
      <c r="G127" s="43" t="s">
        <v>626</v>
      </c>
      <c r="H127" s="51" t="s">
        <v>239</v>
      </c>
      <c r="I127" s="53"/>
      <c r="J127" s="47">
        <v>5925000.0</v>
      </c>
      <c r="K127" s="48" t="s">
        <v>945</v>
      </c>
    </row>
    <row r="128">
      <c r="A128" s="34" t="s">
        <v>1256</v>
      </c>
      <c r="B128" s="35" t="s">
        <v>17</v>
      </c>
      <c r="C128" s="36">
        <v>2025.0</v>
      </c>
      <c r="D128" s="36">
        <v>5.0</v>
      </c>
      <c r="E128" s="37">
        <v>46148.0</v>
      </c>
      <c r="F128" s="36">
        <v>2.0</v>
      </c>
      <c r="G128" s="35" t="s">
        <v>626</v>
      </c>
      <c r="H128" s="50" t="s">
        <v>248</v>
      </c>
      <c r="I128" s="52"/>
      <c r="J128" s="39">
        <v>1220000.0</v>
      </c>
      <c r="K128" s="40" t="s">
        <v>945</v>
      </c>
    </row>
    <row r="129">
      <c r="A129" s="42" t="s">
        <v>1257</v>
      </c>
      <c r="B129" s="43" t="s">
        <v>17</v>
      </c>
      <c r="C129" s="44">
        <v>2025.0</v>
      </c>
      <c r="D129" s="44">
        <v>5.0</v>
      </c>
      <c r="E129" s="45">
        <v>46148.0</v>
      </c>
      <c r="F129" s="44">
        <v>2.0</v>
      </c>
      <c r="G129" s="43" t="s">
        <v>613</v>
      </c>
      <c r="H129" s="51" t="s">
        <v>935</v>
      </c>
      <c r="I129" s="53"/>
      <c r="J129" s="46">
        <v>865000.0</v>
      </c>
      <c r="K129" s="48" t="s">
        <v>945</v>
      </c>
    </row>
    <row r="130">
      <c r="A130" s="34" t="s">
        <v>1258</v>
      </c>
      <c r="B130" s="35" t="s">
        <v>17</v>
      </c>
      <c r="C130" s="36">
        <v>2025.0</v>
      </c>
      <c r="D130" s="36">
        <v>5.0</v>
      </c>
      <c r="E130" s="37">
        <v>46148.0</v>
      </c>
      <c r="F130" s="36">
        <v>2.0</v>
      </c>
      <c r="G130" s="35" t="s">
        <v>613</v>
      </c>
      <c r="H130" s="50" t="s">
        <v>233</v>
      </c>
      <c r="I130" s="52"/>
      <c r="J130" s="39">
        <v>4500000.0</v>
      </c>
      <c r="K130" s="40" t="s">
        <v>945</v>
      </c>
    </row>
    <row r="131">
      <c r="A131" s="42" t="s">
        <v>1259</v>
      </c>
      <c r="B131" s="43" t="s">
        <v>17</v>
      </c>
      <c r="C131" s="44">
        <v>2025.0</v>
      </c>
      <c r="D131" s="44">
        <v>6.0</v>
      </c>
      <c r="E131" s="45">
        <v>46187.0</v>
      </c>
      <c r="F131" s="44">
        <v>1.0</v>
      </c>
      <c r="G131" s="43" t="s">
        <v>602</v>
      </c>
      <c r="H131" s="51" t="s">
        <v>169</v>
      </c>
      <c r="I131" s="43" t="s">
        <v>1260</v>
      </c>
      <c r="J131" s="47">
        <v>1648900.0</v>
      </c>
      <c r="K131" s="48" t="s">
        <v>945</v>
      </c>
    </row>
    <row r="132">
      <c r="A132" s="34" t="s">
        <v>1261</v>
      </c>
      <c r="B132" s="35" t="s">
        <v>17</v>
      </c>
      <c r="C132" s="36">
        <v>2025.0</v>
      </c>
      <c r="D132" s="36">
        <v>6.0</v>
      </c>
      <c r="E132" s="37">
        <v>46187.0</v>
      </c>
      <c r="F132" s="36">
        <v>1.0</v>
      </c>
      <c r="G132" s="35" t="s">
        <v>602</v>
      </c>
      <c r="H132" s="50" t="s">
        <v>176</v>
      </c>
      <c r="I132" s="35" t="s">
        <v>1262</v>
      </c>
      <c r="J132" s="39">
        <v>3371960.0</v>
      </c>
      <c r="K132" s="40" t="s">
        <v>945</v>
      </c>
    </row>
    <row r="133">
      <c r="A133" s="42" t="s">
        <v>1263</v>
      </c>
      <c r="B133" s="43" t="s">
        <v>17</v>
      </c>
      <c r="C133" s="44">
        <v>2025.0</v>
      </c>
      <c r="D133" s="44">
        <v>6.0</v>
      </c>
      <c r="E133" s="45">
        <v>46187.0</v>
      </c>
      <c r="F133" s="44">
        <v>1.0</v>
      </c>
      <c r="G133" s="43" t="s">
        <v>602</v>
      </c>
      <c r="H133" s="51" t="s">
        <v>183</v>
      </c>
      <c r="I133" s="53"/>
      <c r="J133" s="46">
        <v>500000.0</v>
      </c>
      <c r="K133" s="48" t="s">
        <v>945</v>
      </c>
    </row>
    <row r="134">
      <c r="A134" s="34" t="s">
        <v>1264</v>
      </c>
      <c r="B134" s="35" t="s">
        <v>17</v>
      </c>
      <c r="C134" s="36">
        <v>2025.0</v>
      </c>
      <c r="D134" s="36">
        <v>6.0</v>
      </c>
      <c r="E134" s="37">
        <v>46187.0</v>
      </c>
      <c r="F134" s="36">
        <v>1.0</v>
      </c>
      <c r="G134" s="35" t="s">
        <v>602</v>
      </c>
      <c r="H134" s="50" t="s">
        <v>188</v>
      </c>
      <c r="I134" s="52"/>
      <c r="J134" s="38">
        <v>150000.0</v>
      </c>
      <c r="K134" s="40" t="s">
        <v>945</v>
      </c>
    </row>
    <row r="135">
      <c r="A135" s="42" t="s">
        <v>1265</v>
      </c>
      <c r="B135" s="43" t="s">
        <v>17</v>
      </c>
      <c r="C135" s="44">
        <v>2025.0</v>
      </c>
      <c r="D135" s="44">
        <v>6.0</v>
      </c>
      <c r="E135" s="45">
        <v>46187.0</v>
      </c>
      <c r="F135" s="44">
        <v>1.0</v>
      </c>
      <c r="G135" s="43" t="s">
        <v>237</v>
      </c>
      <c r="H135" s="51" t="s">
        <v>237</v>
      </c>
      <c r="I135" s="43" t="s">
        <v>1266</v>
      </c>
      <c r="J135" s="47">
        <v>3.0E7</v>
      </c>
      <c r="K135" s="48" t="s">
        <v>945</v>
      </c>
    </row>
    <row r="136">
      <c r="A136" s="34" t="s">
        <v>1267</v>
      </c>
      <c r="B136" s="35" t="s">
        <v>17</v>
      </c>
      <c r="C136" s="36">
        <v>2025.0</v>
      </c>
      <c r="D136" s="36">
        <v>6.0</v>
      </c>
      <c r="E136" s="37">
        <v>46187.0</v>
      </c>
      <c r="F136" s="36">
        <v>1.0</v>
      </c>
      <c r="G136" s="35" t="s">
        <v>613</v>
      </c>
      <c r="H136" s="50" t="s">
        <v>211</v>
      </c>
      <c r="I136" s="52"/>
      <c r="J136" s="39">
        <v>1131000.0</v>
      </c>
      <c r="K136" s="40" t="s">
        <v>945</v>
      </c>
    </row>
    <row r="137">
      <c r="A137" s="42" t="s">
        <v>1268</v>
      </c>
      <c r="B137" s="43" t="s">
        <v>17</v>
      </c>
      <c r="C137" s="44">
        <v>2025.0</v>
      </c>
      <c r="D137" s="44">
        <v>6.0</v>
      </c>
      <c r="E137" s="45">
        <v>46187.0</v>
      </c>
      <c r="F137" s="44">
        <v>1.0</v>
      </c>
      <c r="G137" s="43" t="s">
        <v>1156</v>
      </c>
      <c r="H137" s="51" t="s">
        <v>938</v>
      </c>
      <c r="I137" s="53"/>
      <c r="J137" s="47">
        <v>1.65E7</v>
      </c>
      <c r="K137" s="48" t="s">
        <v>945</v>
      </c>
    </row>
    <row r="138">
      <c r="A138" s="34" t="s">
        <v>1269</v>
      </c>
      <c r="B138" s="35" t="s">
        <v>17</v>
      </c>
      <c r="C138" s="36">
        <v>2025.0</v>
      </c>
      <c r="D138" s="36">
        <v>6.0</v>
      </c>
      <c r="E138" s="37">
        <v>46187.0</v>
      </c>
      <c r="F138" s="36">
        <v>1.0</v>
      </c>
      <c r="G138" s="35" t="s">
        <v>613</v>
      </c>
      <c r="H138" s="50" t="s">
        <v>1090</v>
      </c>
      <c r="I138" s="52"/>
      <c r="J138" s="38">
        <v>200000.0</v>
      </c>
      <c r="K138" s="40" t="s">
        <v>945</v>
      </c>
    </row>
    <row r="139">
      <c r="A139" s="42" t="s">
        <v>1270</v>
      </c>
      <c r="B139" s="43" t="s">
        <v>17</v>
      </c>
      <c r="C139" s="44">
        <v>2025.0</v>
      </c>
      <c r="D139" s="44">
        <v>6.0</v>
      </c>
      <c r="E139" s="45">
        <v>46201.0</v>
      </c>
      <c r="F139" s="44">
        <v>2.0</v>
      </c>
      <c r="G139" s="43" t="s">
        <v>602</v>
      </c>
      <c r="H139" s="51" t="s">
        <v>169</v>
      </c>
      <c r="I139" s="43" t="s">
        <v>1271</v>
      </c>
      <c r="J139" s="47">
        <v>1793900.0</v>
      </c>
      <c r="K139" s="48" t="s">
        <v>945</v>
      </c>
    </row>
    <row r="140">
      <c r="A140" s="34" t="s">
        <v>1272</v>
      </c>
      <c r="B140" s="35" t="s">
        <v>17</v>
      </c>
      <c r="C140" s="36">
        <v>2025.0</v>
      </c>
      <c r="D140" s="36">
        <v>6.0</v>
      </c>
      <c r="E140" s="37">
        <v>46201.0</v>
      </c>
      <c r="F140" s="36">
        <v>2.0</v>
      </c>
      <c r="G140" s="35" t="s">
        <v>602</v>
      </c>
      <c r="H140" s="50" t="s">
        <v>176</v>
      </c>
      <c r="I140" s="35" t="s">
        <v>1273</v>
      </c>
      <c r="J140" s="39">
        <v>3338130.0</v>
      </c>
      <c r="K140" s="40" t="s">
        <v>945</v>
      </c>
    </row>
    <row r="141">
      <c r="A141" s="42" t="s">
        <v>1274</v>
      </c>
      <c r="B141" s="43" t="s">
        <v>17</v>
      </c>
      <c r="C141" s="44">
        <v>2025.0</v>
      </c>
      <c r="D141" s="44">
        <v>6.0</v>
      </c>
      <c r="E141" s="45">
        <v>46201.0</v>
      </c>
      <c r="F141" s="44">
        <v>2.0</v>
      </c>
      <c r="G141" s="43" t="s">
        <v>602</v>
      </c>
      <c r="H141" s="51" t="s">
        <v>183</v>
      </c>
      <c r="I141" s="53"/>
      <c r="J141" s="46">
        <v>500000.0</v>
      </c>
      <c r="K141" s="48" t="s">
        <v>945</v>
      </c>
    </row>
    <row r="142">
      <c r="A142" s="34" t="s">
        <v>1275</v>
      </c>
      <c r="B142" s="35" t="s">
        <v>17</v>
      </c>
      <c r="C142" s="36">
        <v>2025.0</v>
      </c>
      <c r="D142" s="36">
        <v>6.0</v>
      </c>
      <c r="E142" s="37">
        <v>46201.0</v>
      </c>
      <c r="F142" s="36">
        <v>2.0</v>
      </c>
      <c r="G142" s="35" t="s">
        <v>602</v>
      </c>
      <c r="H142" s="50" t="s">
        <v>188</v>
      </c>
      <c r="I142" s="52"/>
      <c r="J142" s="38">
        <v>150000.0</v>
      </c>
      <c r="K142" s="40" t="s">
        <v>945</v>
      </c>
    </row>
    <row r="143">
      <c r="A143" s="42" t="s">
        <v>1276</v>
      </c>
      <c r="B143" s="43" t="s">
        <v>17</v>
      </c>
      <c r="C143" s="44">
        <v>2025.0</v>
      </c>
      <c r="D143" s="44">
        <v>6.0</v>
      </c>
      <c r="E143" s="45">
        <v>46201.0</v>
      </c>
      <c r="F143" s="44">
        <v>2.0</v>
      </c>
      <c r="G143" s="43" t="s">
        <v>613</v>
      </c>
      <c r="H143" s="51" t="s">
        <v>454</v>
      </c>
      <c r="I143" s="53"/>
      <c r="J143" s="46">
        <v>900000.0</v>
      </c>
      <c r="K143" s="48" t="s">
        <v>945</v>
      </c>
    </row>
    <row r="144">
      <c r="A144" s="34" t="s">
        <v>1277</v>
      </c>
      <c r="B144" s="35" t="s">
        <v>17</v>
      </c>
      <c r="C144" s="36">
        <v>2025.0</v>
      </c>
      <c r="D144" s="36">
        <v>6.0</v>
      </c>
      <c r="E144" s="37">
        <v>46201.0</v>
      </c>
      <c r="F144" s="36">
        <v>2.0</v>
      </c>
      <c r="G144" s="35" t="s">
        <v>237</v>
      </c>
      <c r="H144" s="50" t="s">
        <v>237</v>
      </c>
      <c r="I144" s="35" t="s">
        <v>1278</v>
      </c>
      <c r="J144" s="39">
        <v>3.15E7</v>
      </c>
      <c r="K144" s="40" t="s">
        <v>945</v>
      </c>
    </row>
    <row r="145">
      <c r="A145" s="42" t="s">
        <v>1279</v>
      </c>
      <c r="B145" s="43" t="s">
        <v>17</v>
      </c>
      <c r="C145" s="44">
        <v>2025.0</v>
      </c>
      <c r="D145" s="44">
        <v>6.0</v>
      </c>
      <c r="E145" s="45">
        <v>46201.0</v>
      </c>
      <c r="F145" s="44">
        <v>2.0</v>
      </c>
      <c r="G145" s="43" t="s">
        <v>613</v>
      </c>
      <c r="H145" s="51" t="s">
        <v>233</v>
      </c>
      <c r="I145" s="53"/>
      <c r="J145" s="47">
        <v>4500000.0</v>
      </c>
      <c r="K145" s="48" t="s">
        <v>945</v>
      </c>
    </row>
    <row r="146">
      <c r="A146" s="34" t="s">
        <v>1280</v>
      </c>
      <c r="B146" s="35" t="s">
        <v>17</v>
      </c>
      <c r="C146" s="36">
        <v>2025.0</v>
      </c>
      <c r="D146" s="36">
        <v>6.0</v>
      </c>
      <c r="E146" s="37">
        <v>46201.0</v>
      </c>
      <c r="F146" s="36">
        <v>2.0</v>
      </c>
      <c r="G146" s="35" t="s">
        <v>613</v>
      </c>
      <c r="H146" s="50" t="s">
        <v>200</v>
      </c>
      <c r="I146" s="52"/>
      <c r="J146" s="38">
        <v>220000.0</v>
      </c>
      <c r="K146" s="40" t="s">
        <v>945</v>
      </c>
    </row>
    <row r="147">
      <c r="A147" s="42" t="s">
        <v>1281</v>
      </c>
      <c r="B147" s="43" t="s">
        <v>17</v>
      </c>
      <c r="C147" s="44">
        <v>2025.0</v>
      </c>
      <c r="D147" s="44">
        <v>6.0</v>
      </c>
      <c r="E147" s="45">
        <v>46201.0</v>
      </c>
      <c r="F147" s="44">
        <v>2.0</v>
      </c>
      <c r="G147" s="43" t="s">
        <v>613</v>
      </c>
      <c r="H147" s="51" t="s">
        <v>1282</v>
      </c>
      <c r="I147" s="53"/>
      <c r="J147" s="47">
        <v>3200000.0</v>
      </c>
      <c r="K147" s="48" t="s">
        <v>945</v>
      </c>
    </row>
    <row r="148">
      <c r="A148" s="34" t="s">
        <v>1283</v>
      </c>
      <c r="B148" s="35" t="s">
        <v>17</v>
      </c>
      <c r="C148" s="36">
        <v>2025.0</v>
      </c>
      <c r="D148" s="36">
        <v>6.0</v>
      </c>
      <c r="E148" s="37">
        <v>46201.0</v>
      </c>
      <c r="F148" s="36">
        <v>2.0</v>
      </c>
      <c r="G148" s="35" t="s">
        <v>613</v>
      </c>
      <c r="H148" s="50" t="s">
        <v>1284</v>
      </c>
      <c r="I148" s="52"/>
      <c r="J148" s="38">
        <v>150000.0</v>
      </c>
      <c r="K148" s="40" t="s">
        <v>945</v>
      </c>
    </row>
    <row r="149">
      <c r="A149" s="42" t="s">
        <v>1285</v>
      </c>
      <c r="B149" s="43" t="s">
        <v>17</v>
      </c>
      <c r="C149" s="44">
        <v>2025.0</v>
      </c>
      <c r="D149" s="44">
        <v>6.0</v>
      </c>
      <c r="E149" s="45">
        <v>46201.0</v>
      </c>
      <c r="F149" s="44">
        <v>2.0</v>
      </c>
      <c r="G149" s="43" t="s">
        <v>626</v>
      </c>
      <c r="H149" s="51" t="s">
        <v>1286</v>
      </c>
      <c r="I149" s="53"/>
      <c r="J149" s="47">
        <v>3365000.0</v>
      </c>
      <c r="K149" s="48" t="s">
        <v>945</v>
      </c>
    </row>
    <row r="150">
      <c r="A150" s="34" t="s">
        <v>1287</v>
      </c>
      <c r="B150" s="35" t="s">
        <v>17</v>
      </c>
      <c r="C150" s="36">
        <v>2025.0</v>
      </c>
      <c r="D150" s="36">
        <v>6.0</v>
      </c>
      <c r="E150" s="37">
        <v>46201.0</v>
      </c>
      <c r="F150" s="36">
        <v>2.0</v>
      </c>
      <c r="G150" s="35" t="s">
        <v>626</v>
      </c>
      <c r="H150" s="50" t="s">
        <v>239</v>
      </c>
      <c r="I150" s="52"/>
      <c r="J150" s="38">
        <v>100000.0</v>
      </c>
      <c r="K150" s="40" t="s">
        <v>945</v>
      </c>
    </row>
    <row r="151">
      <c r="A151" s="42" t="s">
        <v>1288</v>
      </c>
      <c r="B151" s="43" t="s">
        <v>17</v>
      </c>
      <c r="C151" s="44">
        <v>2025.0</v>
      </c>
      <c r="D151" s="44">
        <v>6.0</v>
      </c>
      <c r="E151" s="45">
        <v>46201.0</v>
      </c>
      <c r="F151" s="44">
        <v>2.0</v>
      </c>
      <c r="G151" s="43" t="s">
        <v>613</v>
      </c>
      <c r="H151" s="51" t="s">
        <v>1289</v>
      </c>
      <c r="I151" s="53"/>
      <c r="J151" s="46">
        <v>450000.0</v>
      </c>
      <c r="K151" s="48" t="s">
        <v>945</v>
      </c>
    </row>
    <row r="152">
      <c r="A152" s="34" t="s">
        <v>1290</v>
      </c>
      <c r="B152" s="35" t="s">
        <v>17</v>
      </c>
      <c r="C152" s="36">
        <v>2025.0</v>
      </c>
      <c r="D152" s="36">
        <v>7.0</v>
      </c>
      <c r="E152" s="37">
        <v>46213.0</v>
      </c>
      <c r="F152" s="36">
        <v>1.0</v>
      </c>
      <c r="G152" s="35" t="s">
        <v>602</v>
      </c>
      <c r="H152" s="50" t="s">
        <v>169</v>
      </c>
      <c r="I152" s="35" t="s">
        <v>1291</v>
      </c>
      <c r="J152" s="39">
        <v>1794800.0</v>
      </c>
      <c r="K152" s="40" t="s">
        <v>945</v>
      </c>
    </row>
    <row r="153">
      <c r="A153" s="42" t="s">
        <v>1292</v>
      </c>
      <c r="B153" s="43" t="s">
        <v>17</v>
      </c>
      <c r="C153" s="44">
        <v>2025.0</v>
      </c>
      <c r="D153" s="44">
        <v>7.0</v>
      </c>
      <c r="E153" s="45">
        <v>46213.0</v>
      </c>
      <c r="F153" s="44">
        <v>1.0</v>
      </c>
      <c r="G153" s="43" t="s">
        <v>602</v>
      </c>
      <c r="H153" s="51" t="s">
        <v>176</v>
      </c>
      <c r="I153" s="43" t="s">
        <v>1293</v>
      </c>
      <c r="J153" s="47">
        <v>3051160.0</v>
      </c>
      <c r="K153" s="48" t="s">
        <v>945</v>
      </c>
    </row>
    <row r="154">
      <c r="A154" s="34" t="s">
        <v>1294</v>
      </c>
      <c r="B154" s="35" t="s">
        <v>17</v>
      </c>
      <c r="C154" s="36">
        <v>2025.0</v>
      </c>
      <c r="D154" s="36">
        <v>7.0</v>
      </c>
      <c r="E154" s="37">
        <v>46213.0</v>
      </c>
      <c r="F154" s="36">
        <v>1.0</v>
      </c>
      <c r="G154" s="35" t="s">
        <v>602</v>
      </c>
      <c r="H154" s="50" t="s">
        <v>183</v>
      </c>
      <c r="I154" s="52"/>
      <c r="J154" s="38">
        <v>600000.0</v>
      </c>
      <c r="K154" s="40" t="s">
        <v>945</v>
      </c>
    </row>
    <row r="155">
      <c r="A155" s="42" t="s">
        <v>1295</v>
      </c>
      <c r="B155" s="43" t="s">
        <v>17</v>
      </c>
      <c r="C155" s="44">
        <v>2025.0</v>
      </c>
      <c r="D155" s="44">
        <v>7.0</v>
      </c>
      <c r="E155" s="45">
        <v>46213.0</v>
      </c>
      <c r="F155" s="44">
        <v>1.0</v>
      </c>
      <c r="G155" s="43" t="s">
        <v>602</v>
      </c>
      <c r="H155" s="51" t="s">
        <v>188</v>
      </c>
      <c r="I155" s="53"/>
      <c r="J155" s="46">
        <v>200000.0</v>
      </c>
      <c r="K155" s="48" t="s">
        <v>945</v>
      </c>
    </row>
    <row r="156">
      <c r="A156" s="34" t="s">
        <v>1296</v>
      </c>
      <c r="B156" s="35" t="s">
        <v>17</v>
      </c>
      <c r="C156" s="36">
        <v>2025.0</v>
      </c>
      <c r="D156" s="36">
        <v>7.0</v>
      </c>
      <c r="E156" s="37">
        <v>46213.0</v>
      </c>
      <c r="F156" s="36">
        <v>1.0</v>
      </c>
      <c r="G156" s="35" t="s">
        <v>613</v>
      </c>
      <c r="H156" s="50" t="s">
        <v>200</v>
      </c>
      <c r="I156" s="52"/>
      <c r="J156" s="38">
        <v>110000.0</v>
      </c>
      <c r="K156" s="40" t="s">
        <v>945</v>
      </c>
    </row>
    <row r="157">
      <c r="A157" s="42" t="s">
        <v>1297</v>
      </c>
      <c r="B157" s="43" t="s">
        <v>17</v>
      </c>
      <c r="C157" s="44">
        <v>2025.0</v>
      </c>
      <c r="D157" s="44">
        <v>7.0</v>
      </c>
      <c r="E157" s="45">
        <v>46213.0</v>
      </c>
      <c r="F157" s="44">
        <v>1.0</v>
      </c>
      <c r="G157" s="43" t="s">
        <v>237</v>
      </c>
      <c r="H157" s="51" t="s">
        <v>237</v>
      </c>
      <c r="I157" s="53"/>
      <c r="J157" s="47">
        <v>1.4E7</v>
      </c>
      <c r="K157" s="48" t="s">
        <v>945</v>
      </c>
    </row>
    <row r="158">
      <c r="A158" s="34" t="s">
        <v>1298</v>
      </c>
      <c r="B158" s="35" t="s">
        <v>17</v>
      </c>
      <c r="C158" s="36">
        <v>2025.0</v>
      </c>
      <c r="D158" s="36">
        <v>7.0</v>
      </c>
      <c r="E158" s="37">
        <v>46213.0</v>
      </c>
      <c r="F158" s="36">
        <v>1.0</v>
      </c>
      <c r="G158" s="35" t="s">
        <v>613</v>
      </c>
      <c r="H158" s="50" t="s">
        <v>211</v>
      </c>
      <c r="I158" s="52"/>
      <c r="J158" s="39">
        <v>1068000.0</v>
      </c>
      <c r="K158" s="40" t="s">
        <v>945</v>
      </c>
    </row>
    <row r="159">
      <c r="A159" s="42" t="s">
        <v>1299</v>
      </c>
      <c r="B159" s="43" t="s">
        <v>17</v>
      </c>
      <c r="C159" s="44">
        <v>2025.0</v>
      </c>
      <c r="D159" s="44">
        <v>7.0</v>
      </c>
      <c r="E159" s="45">
        <v>46226.0</v>
      </c>
      <c r="F159" s="44">
        <v>2.0</v>
      </c>
      <c r="G159" s="43" t="s">
        <v>602</v>
      </c>
      <c r="H159" s="51" t="s">
        <v>169</v>
      </c>
      <c r="I159" s="43" t="s">
        <v>1300</v>
      </c>
      <c r="J159" s="47">
        <v>1927000.0</v>
      </c>
      <c r="K159" s="48" t="s">
        <v>945</v>
      </c>
    </row>
    <row r="160">
      <c r="A160" s="34" t="s">
        <v>1301</v>
      </c>
      <c r="B160" s="35" t="s">
        <v>17</v>
      </c>
      <c r="C160" s="36">
        <v>2025.0</v>
      </c>
      <c r="D160" s="36">
        <v>7.0</v>
      </c>
      <c r="E160" s="37">
        <v>46226.0</v>
      </c>
      <c r="F160" s="36">
        <v>2.0</v>
      </c>
      <c r="G160" s="35" t="s">
        <v>602</v>
      </c>
      <c r="H160" s="50" t="s">
        <v>176</v>
      </c>
      <c r="I160" s="35" t="s">
        <v>1302</v>
      </c>
      <c r="J160" s="39">
        <v>3275900.0</v>
      </c>
      <c r="K160" s="40" t="s">
        <v>945</v>
      </c>
    </row>
    <row r="161">
      <c r="A161" s="42" t="s">
        <v>1303</v>
      </c>
      <c r="B161" s="43" t="s">
        <v>17</v>
      </c>
      <c r="C161" s="44">
        <v>2025.0</v>
      </c>
      <c r="D161" s="44">
        <v>7.0</v>
      </c>
      <c r="E161" s="45">
        <v>46226.0</v>
      </c>
      <c r="F161" s="44">
        <v>2.0</v>
      </c>
      <c r="G161" s="43" t="s">
        <v>602</v>
      </c>
      <c r="H161" s="51" t="s">
        <v>183</v>
      </c>
      <c r="I161" s="53"/>
      <c r="J161" s="46">
        <v>600000.0</v>
      </c>
      <c r="K161" s="48" t="s">
        <v>945</v>
      </c>
    </row>
    <row r="162">
      <c r="A162" s="34" t="s">
        <v>1304</v>
      </c>
      <c r="B162" s="35" t="s">
        <v>17</v>
      </c>
      <c r="C162" s="36">
        <v>2025.0</v>
      </c>
      <c r="D162" s="36">
        <v>7.0</v>
      </c>
      <c r="E162" s="37">
        <v>46226.0</v>
      </c>
      <c r="F162" s="36">
        <v>2.0</v>
      </c>
      <c r="G162" s="35" t="s">
        <v>602</v>
      </c>
      <c r="H162" s="50" t="s">
        <v>188</v>
      </c>
      <c r="I162" s="52"/>
      <c r="J162" s="38">
        <v>200000.0</v>
      </c>
      <c r="K162" s="40" t="s">
        <v>945</v>
      </c>
    </row>
    <row r="163">
      <c r="A163" s="42" t="s">
        <v>1305</v>
      </c>
      <c r="B163" s="43" t="s">
        <v>17</v>
      </c>
      <c r="C163" s="44">
        <v>2025.0</v>
      </c>
      <c r="D163" s="44">
        <v>7.0</v>
      </c>
      <c r="E163" s="45">
        <v>46226.0</v>
      </c>
      <c r="F163" s="44">
        <v>2.0</v>
      </c>
      <c r="G163" s="43" t="s">
        <v>613</v>
      </c>
      <c r="H163" s="51" t="s">
        <v>1306</v>
      </c>
      <c r="I163" s="53"/>
      <c r="J163" s="46">
        <v>300000.0</v>
      </c>
      <c r="K163" s="48" t="s">
        <v>945</v>
      </c>
    </row>
    <row r="164">
      <c r="A164" s="34" t="s">
        <v>1307</v>
      </c>
      <c r="B164" s="35" t="s">
        <v>17</v>
      </c>
      <c r="C164" s="36">
        <v>2025.0</v>
      </c>
      <c r="D164" s="36">
        <v>7.0</v>
      </c>
      <c r="E164" s="37">
        <v>46226.0</v>
      </c>
      <c r="F164" s="36">
        <v>2.0</v>
      </c>
      <c r="G164" s="35" t="s">
        <v>613</v>
      </c>
      <c r="H164" s="50" t="s">
        <v>1308</v>
      </c>
      <c r="I164" s="52"/>
      <c r="J164" s="38">
        <v>785000.0</v>
      </c>
      <c r="K164" s="40" t="s">
        <v>945</v>
      </c>
    </row>
    <row r="165">
      <c r="A165" s="42" t="s">
        <v>1309</v>
      </c>
      <c r="B165" s="43" t="s">
        <v>17</v>
      </c>
      <c r="C165" s="44">
        <v>2025.0</v>
      </c>
      <c r="D165" s="44">
        <v>7.0</v>
      </c>
      <c r="E165" s="45">
        <v>46226.0</v>
      </c>
      <c r="F165" s="44">
        <v>2.0</v>
      </c>
      <c r="G165" s="43" t="s">
        <v>613</v>
      </c>
      <c r="H165" s="51" t="s">
        <v>1310</v>
      </c>
      <c r="I165" s="53"/>
      <c r="J165" s="47">
        <v>1960000.0</v>
      </c>
      <c r="K165" s="48" t="s">
        <v>945</v>
      </c>
    </row>
    <row r="166">
      <c r="A166" s="34" t="s">
        <v>1311</v>
      </c>
      <c r="B166" s="35" t="s">
        <v>17</v>
      </c>
      <c r="C166" s="36">
        <v>2025.0</v>
      </c>
      <c r="D166" s="36">
        <v>7.0</v>
      </c>
      <c r="E166" s="37">
        <v>46226.0</v>
      </c>
      <c r="F166" s="36">
        <v>2.0</v>
      </c>
      <c r="G166" s="35" t="s">
        <v>613</v>
      </c>
      <c r="H166" s="50" t="s">
        <v>1129</v>
      </c>
      <c r="I166" s="52"/>
      <c r="J166" s="39">
        <v>4600000.0</v>
      </c>
      <c r="K166" s="40" t="s">
        <v>945</v>
      </c>
    </row>
    <row r="167">
      <c r="A167" s="42" t="s">
        <v>1312</v>
      </c>
      <c r="B167" s="43" t="s">
        <v>17</v>
      </c>
      <c r="C167" s="44">
        <v>2025.0</v>
      </c>
      <c r="D167" s="44">
        <v>7.0</v>
      </c>
      <c r="E167" s="45">
        <v>46226.0</v>
      </c>
      <c r="F167" s="44">
        <v>2.0</v>
      </c>
      <c r="G167" s="43" t="s">
        <v>602</v>
      </c>
      <c r="H167" s="51" t="s">
        <v>1083</v>
      </c>
      <c r="I167" s="53"/>
      <c r="J167" s="46">
        <v>550000.0</v>
      </c>
      <c r="K167" s="48" t="s">
        <v>945</v>
      </c>
    </row>
    <row r="168">
      <c r="A168" s="34" t="s">
        <v>1313</v>
      </c>
      <c r="B168" s="35" t="s">
        <v>17</v>
      </c>
      <c r="C168" s="36">
        <v>2025.0</v>
      </c>
      <c r="D168" s="36">
        <v>7.0</v>
      </c>
      <c r="E168" s="37">
        <v>46226.0</v>
      </c>
      <c r="F168" s="36">
        <v>2.0</v>
      </c>
      <c r="G168" s="35" t="s">
        <v>613</v>
      </c>
      <c r="H168" s="50" t="s">
        <v>1314</v>
      </c>
      <c r="I168" s="35"/>
      <c r="J168" s="38">
        <v>750000.0</v>
      </c>
      <c r="K168" s="40" t="s">
        <v>945</v>
      </c>
    </row>
    <row r="169">
      <c r="A169" s="42" t="s">
        <v>1315</v>
      </c>
      <c r="B169" s="43" t="s">
        <v>17</v>
      </c>
      <c r="C169" s="44">
        <v>2025.0</v>
      </c>
      <c r="D169" s="44">
        <v>7.0</v>
      </c>
      <c r="E169" s="45">
        <v>46226.0</v>
      </c>
      <c r="F169" s="44">
        <v>2.0</v>
      </c>
      <c r="G169" s="43" t="s">
        <v>613</v>
      </c>
      <c r="H169" s="51" t="s">
        <v>426</v>
      </c>
      <c r="I169" s="53"/>
      <c r="J169" s="47">
        <v>4500000.0</v>
      </c>
      <c r="K169" s="48" t="s">
        <v>945</v>
      </c>
    </row>
    <row r="170">
      <c r="A170" s="34" t="s">
        <v>1316</v>
      </c>
      <c r="B170" s="35" t="s">
        <v>17</v>
      </c>
      <c r="C170" s="36">
        <v>2025.0</v>
      </c>
      <c r="D170" s="36">
        <v>7.0</v>
      </c>
      <c r="E170" s="37">
        <v>46226.0</v>
      </c>
      <c r="F170" s="36">
        <v>2.0</v>
      </c>
      <c r="G170" s="35" t="s">
        <v>613</v>
      </c>
      <c r="H170" s="50" t="s">
        <v>247</v>
      </c>
      <c r="I170" s="52"/>
      <c r="J170" s="39">
        <v>1900000.0</v>
      </c>
      <c r="K170" s="40" t="s">
        <v>945</v>
      </c>
    </row>
    <row r="171">
      <c r="A171" s="42" t="s">
        <v>1317</v>
      </c>
      <c r="B171" s="43" t="s">
        <v>17</v>
      </c>
      <c r="C171" s="44">
        <v>2025.0</v>
      </c>
      <c r="D171" s="44">
        <v>7.0</v>
      </c>
      <c r="E171" s="45">
        <v>46226.0</v>
      </c>
      <c r="F171" s="44">
        <v>2.0</v>
      </c>
      <c r="G171" s="43" t="s">
        <v>626</v>
      </c>
      <c r="H171" s="51" t="s">
        <v>239</v>
      </c>
      <c r="I171" s="53"/>
      <c r="J171" s="47">
        <v>3857000.0</v>
      </c>
      <c r="K171" s="48" t="s">
        <v>945</v>
      </c>
    </row>
    <row r="172">
      <c r="A172" s="34" t="s">
        <v>1318</v>
      </c>
      <c r="B172" s="35" t="s">
        <v>17</v>
      </c>
      <c r="C172" s="36">
        <v>2025.0</v>
      </c>
      <c r="D172" s="36">
        <v>7.0</v>
      </c>
      <c r="E172" s="37">
        <v>46226.0</v>
      </c>
      <c r="F172" s="36">
        <v>2.0</v>
      </c>
      <c r="G172" s="35" t="s">
        <v>613</v>
      </c>
      <c r="H172" s="50" t="s">
        <v>1319</v>
      </c>
      <c r="I172" s="35"/>
      <c r="J172" s="38">
        <v>245000.0</v>
      </c>
      <c r="K172" s="40" t="s">
        <v>945</v>
      </c>
    </row>
    <row r="173">
      <c r="A173" s="42" t="s">
        <v>1320</v>
      </c>
      <c r="B173" s="43" t="s">
        <v>17</v>
      </c>
      <c r="C173" s="44">
        <v>2025.0</v>
      </c>
      <c r="D173" s="44">
        <v>8.0</v>
      </c>
      <c r="E173" s="45">
        <v>46240.0</v>
      </c>
      <c r="F173" s="44">
        <v>1.0</v>
      </c>
      <c r="G173" s="43" t="s">
        <v>602</v>
      </c>
      <c r="H173" s="51" t="s">
        <v>169</v>
      </c>
      <c r="I173" s="43" t="s">
        <v>1321</v>
      </c>
      <c r="J173" s="47">
        <v>1801300.0</v>
      </c>
      <c r="K173" s="48" t="s">
        <v>945</v>
      </c>
    </row>
    <row r="174">
      <c r="A174" s="34" t="s">
        <v>1322</v>
      </c>
      <c r="B174" s="35" t="s">
        <v>17</v>
      </c>
      <c r="C174" s="36">
        <v>2025.0</v>
      </c>
      <c r="D174" s="36">
        <v>8.0</v>
      </c>
      <c r="E174" s="37">
        <v>46240.0</v>
      </c>
      <c r="F174" s="36">
        <v>1.0</v>
      </c>
      <c r="G174" s="35" t="s">
        <v>602</v>
      </c>
      <c r="H174" s="50" t="s">
        <v>176</v>
      </c>
      <c r="I174" s="35" t="s">
        <v>1323</v>
      </c>
      <c r="J174" s="39">
        <v>3062210.0</v>
      </c>
      <c r="K174" s="40" t="s">
        <v>945</v>
      </c>
    </row>
    <row r="175">
      <c r="A175" s="42" t="s">
        <v>1324</v>
      </c>
      <c r="B175" s="43" t="s">
        <v>17</v>
      </c>
      <c r="C175" s="44">
        <v>2025.0</v>
      </c>
      <c r="D175" s="44">
        <v>8.0</v>
      </c>
      <c r="E175" s="45">
        <v>46240.0</v>
      </c>
      <c r="F175" s="44">
        <v>1.0</v>
      </c>
      <c r="G175" s="43" t="s">
        <v>602</v>
      </c>
      <c r="H175" s="51" t="s">
        <v>183</v>
      </c>
      <c r="I175" s="53"/>
      <c r="J175" s="46">
        <v>600000.0</v>
      </c>
      <c r="K175" s="48" t="s">
        <v>945</v>
      </c>
    </row>
    <row r="176">
      <c r="A176" s="34" t="s">
        <v>1325</v>
      </c>
      <c r="B176" s="35" t="s">
        <v>17</v>
      </c>
      <c r="C176" s="36">
        <v>2025.0</v>
      </c>
      <c r="D176" s="36">
        <v>8.0</v>
      </c>
      <c r="E176" s="37">
        <v>46240.0</v>
      </c>
      <c r="F176" s="36">
        <v>1.0</v>
      </c>
      <c r="G176" s="35" t="s">
        <v>602</v>
      </c>
      <c r="H176" s="50" t="s">
        <v>188</v>
      </c>
      <c r="I176" s="52"/>
      <c r="J176" s="38">
        <v>200000.0</v>
      </c>
      <c r="K176" s="40" t="s">
        <v>945</v>
      </c>
    </row>
    <row r="177">
      <c r="A177" s="42" t="s">
        <v>1326</v>
      </c>
      <c r="B177" s="43" t="s">
        <v>17</v>
      </c>
      <c r="C177" s="44">
        <v>2025.0</v>
      </c>
      <c r="D177" s="44">
        <v>8.0</v>
      </c>
      <c r="E177" s="45">
        <v>46240.0</v>
      </c>
      <c r="F177" s="44">
        <v>1.0</v>
      </c>
      <c r="G177" s="43" t="s">
        <v>613</v>
      </c>
      <c r="H177" s="51" t="s">
        <v>200</v>
      </c>
      <c r="I177" s="53"/>
      <c r="J177" s="46">
        <v>110000.0</v>
      </c>
      <c r="K177" s="48" t="s">
        <v>945</v>
      </c>
    </row>
    <row r="178">
      <c r="A178" s="34" t="s">
        <v>1327</v>
      </c>
      <c r="B178" s="35" t="s">
        <v>17</v>
      </c>
      <c r="C178" s="36">
        <v>2025.0</v>
      </c>
      <c r="D178" s="36">
        <v>8.0</v>
      </c>
      <c r="E178" s="37">
        <v>46240.0</v>
      </c>
      <c r="F178" s="36">
        <v>1.0</v>
      </c>
      <c r="G178" s="35" t="s">
        <v>613</v>
      </c>
      <c r="H178" s="50" t="s">
        <v>1328</v>
      </c>
      <c r="I178" s="52"/>
      <c r="J178" s="38">
        <v>270000.0</v>
      </c>
      <c r="K178" s="40" t="s">
        <v>945</v>
      </c>
    </row>
    <row r="179">
      <c r="A179" s="42" t="s">
        <v>1329</v>
      </c>
      <c r="B179" s="43" t="s">
        <v>17</v>
      </c>
      <c r="C179" s="44">
        <v>2025.0</v>
      </c>
      <c r="D179" s="44">
        <v>8.0</v>
      </c>
      <c r="E179" s="45">
        <v>46240.0</v>
      </c>
      <c r="F179" s="44">
        <v>1.0</v>
      </c>
      <c r="G179" s="43" t="s">
        <v>613</v>
      </c>
      <c r="H179" s="51" t="s">
        <v>1330</v>
      </c>
      <c r="I179" s="53"/>
      <c r="J179" s="46">
        <v>100000.0</v>
      </c>
      <c r="K179" s="48" t="s">
        <v>945</v>
      </c>
    </row>
    <row r="180">
      <c r="A180" s="34" t="s">
        <v>1331</v>
      </c>
      <c r="B180" s="35" t="s">
        <v>17</v>
      </c>
      <c r="C180" s="36">
        <v>2025.0</v>
      </c>
      <c r="D180" s="36">
        <v>8.0</v>
      </c>
      <c r="E180" s="37">
        <v>46240.0</v>
      </c>
      <c r="F180" s="36">
        <v>1.0</v>
      </c>
      <c r="G180" s="35" t="s">
        <v>613</v>
      </c>
      <c r="H180" s="50" t="s">
        <v>1332</v>
      </c>
      <c r="I180" s="52"/>
      <c r="J180" s="39">
        <v>1200000.0</v>
      </c>
      <c r="K180" s="40" t="s">
        <v>945</v>
      </c>
    </row>
    <row r="181">
      <c r="A181" s="42" t="s">
        <v>1333</v>
      </c>
      <c r="B181" s="43" t="s">
        <v>17</v>
      </c>
      <c r="C181" s="44">
        <v>2025.0</v>
      </c>
      <c r="D181" s="44">
        <v>8.0</v>
      </c>
      <c r="E181" s="45">
        <v>46240.0</v>
      </c>
      <c r="F181" s="44">
        <v>1.0</v>
      </c>
      <c r="G181" s="43" t="s">
        <v>613</v>
      </c>
      <c r="H181" s="51" t="s">
        <v>211</v>
      </c>
      <c r="I181" s="53"/>
      <c r="J181" s="47">
        <v>1086000.0</v>
      </c>
      <c r="K181" s="48" t="s">
        <v>945</v>
      </c>
    </row>
    <row r="182">
      <c r="A182" s="34" t="s">
        <v>1334</v>
      </c>
      <c r="B182" s="35" t="s">
        <v>17</v>
      </c>
      <c r="C182" s="36">
        <v>2025.0</v>
      </c>
      <c r="D182" s="36">
        <v>8.0</v>
      </c>
      <c r="E182" s="37">
        <v>46253.0</v>
      </c>
      <c r="F182" s="36">
        <v>2.0</v>
      </c>
      <c r="G182" s="35" t="s">
        <v>602</v>
      </c>
      <c r="H182" s="50" t="s">
        <v>169</v>
      </c>
      <c r="I182" s="35" t="s">
        <v>1335</v>
      </c>
      <c r="J182" s="39">
        <v>2062300.0</v>
      </c>
      <c r="K182" s="40" t="s">
        <v>945</v>
      </c>
    </row>
    <row r="183">
      <c r="A183" s="42" t="s">
        <v>1336</v>
      </c>
      <c r="B183" s="43" t="s">
        <v>17</v>
      </c>
      <c r="C183" s="44">
        <v>2025.0</v>
      </c>
      <c r="D183" s="44">
        <v>8.0</v>
      </c>
      <c r="E183" s="45">
        <v>46253.0</v>
      </c>
      <c r="F183" s="44">
        <v>2.0</v>
      </c>
      <c r="G183" s="43" t="s">
        <v>602</v>
      </c>
      <c r="H183" s="51" t="s">
        <v>176</v>
      </c>
      <c r="I183" s="43" t="s">
        <v>1337</v>
      </c>
      <c r="J183" s="47">
        <v>3505910.0</v>
      </c>
      <c r="K183" s="48" t="s">
        <v>945</v>
      </c>
    </row>
    <row r="184">
      <c r="A184" s="34" t="s">
        <v>1338</v>
      </c>
      <c r="B184" s="35" t="s">
        <v>17</v>
      </c>
      <c r="C184" s="36">
        <v>2025.0</v>
      </c>
      <c r="D184" s="36">
        <v>8.0</v>
      </c>
      <c r="E184" s="37">
        <v>46253.0</v>
      </c>
      <c r="F184" s="36">
        <v>2.0</v>
      </c>
      <c r="G184" s="35" t="s">
        <v>602</v>
      </c>
      <c r="H184" s="50" t="s">
        <v>183</v>
      </c>
      <c r="I184" s="52"/>
      <c r="J184" s="38">
        <v>600000.0</v>
      </c>
      <c r="K184" s="40" t="s">
        <v>945</v>
      </c>
    </row>
    <row r="185">
      <c r="A185" s="42" t="s">
        <v>1339</v>
      </c>
      <c r="B185" s="43" t="s">
        <v>17</v>
      </c>
      <c r="C185" s="44">
        <v>2025.0</v>
      </c>
      <c r="D185" s="44">
        <v>8.0</v>
      </c>
      <c r="E185" s="45">
        <v>46253.0</v>
      </c>
      <c r="F185" s="44">
        <v>2.0</v>
      </c>
      <c r="G185" s="43" t="s">
        <v>602</v>
      </c>
      <c r="H185" s="51" t="s">
        <v>188</v>
      </c>
      <c r="I185" s="53"/>
      <c r="J185" s="46">
        <v>250000.0</v>
      </c>
      <c r="K185" s="48" t="s">
        <v>945</v>
      </c>
    </row>
    <row r="186">
      <c r="A186" s="34" t="s">
        <v>1340</v>
      </c>
      <c r="B186" s="35" t="s">
        <v>17</v>
      </c>
      <c r="C186" s="36">
        <v>2025.0</v>
      </c>
      <c r="D186" s="36">
        <v>8.0</v>
      </c>
      <c r="E186" s="37">
        <v>46253.0</v>
      </c>
      <c r="F186" s="36">
        <v>2.0</v>
      </c>
      <c r="G186" s="35" t="s">
        <v>613</v>
      </c>
      <c r="H186" s="50" t="s">
        <v>1341</v>
      </c>
      <c r="I186" s="35"/>
      <c r="J186" s="38">
        <v>250000.0</v>
      </c>
      <c r="K186" s="40" t="s">
        <v>945</v>
      </c>
    </row>
    <row r="187">
      <c r="A187" s="42" t="s">
        <v>1342</v>
      </c>
      <c r="B187" s="43" t="s">
        <v>17</v>
      </c>
      <c r="C187" s="44">
        <v>2025.0</v>
      </c>
      <c r="D187" s="44">
        <v>8.0</v>
      </c>
      <c r="E187" s="45">
        <v>46253.0</v>
      </c>
      <c r="F187" s="44">
        <v>2.0</v>
      </c>
      <c r="G187" s="43" t="s">
        <v>613</v>
      </c>
      <c r="H187" s="51" t="s">
        <v>1343</v>
      </c>
      <c r="I187" s="53"/>
      <c r="J187" s="47">
        <v>7640000.0</v>
      </c>
      <c r="K187" s="48" t="s">
        <v>945</v>
      </c>
    </row>
    <row r="188">
      <c r="A188" s="34" t="s">
        <v>1344</v>
      </c>
      <c r="B188" s="35" t="s">
        <v>17</v>
      </c>
      <c r="C188" s="36">
        <v>2025.0</v>
      </c>
      <c r="D188" s="36">
        <v>8.0</v>
      </c>
      <c r="E188" s="37">
        <v>46253.0</v>
      </c>
      <c r="F188" s="36">
        <v>2.0</v>
      </c>
      <c r="G188" s="35" t="s">
        <v>613</v>
      </c>
      <c r="H188" s="50" t="s">
        <v>1345</v>
      </c>
      <c r="I188" s="52"/>
      <c r="J188" s="38">
        <v>750000.0</v>
      </c>
      <c r="K188" s="40" t="s">
        <v>945</v>
      </c>
    </row>
    <row r="189">
      <c r="A189" s="42" t="s">
        <v>1346</v>
      </c>
      <c r="B189" s="43" t="s">
        <v>17</v>
      </c>
      <c r="C189" s="44">
        <v>2025.0</v>
      </c>
      <c r="D189" s="44">
        <v>8.0</v>
      </c>
      <c r="E189" s="45">
        <v>46253.0</v>
      </c>
      <c r="F189" s="44">
        <v>2.0</v>
      </c>
      <c r="G189" s="43" t="s">
        <v>613</v>
      </c>
      <c r="H189" s="51" t="s">
        <v>1347</v>
      </c>
      <c r="I189" s="53"/>
      <c r="J189" s="47">
        <v>3000000.0</v>
      </c>
      <c r="K189" s="48" t="s">
        <v>945</v>
      </c>
    </row>
    <row r="190">
      <c r="A190" s="34" t="s">
        <v>1348</v>
      </c>
      <c r="B190" s="35" t="s">
        <v>17</v>
      </c>
      <c r="C190" s="36">
        <v>2025.0</v>
      </c>
      <c r="D190" s="36">
        <v>8.0</v>
      </c>
      <c r="E190" s="37">
        <v>46253.0</v>
      </c>
      <c r="F190" s="36">
        <v>2.0</v>
      </c>
      <c r="G190" s="35" t="s">
        <v>626</v>
      </c>
      <c r="H190" s="50" t="s">
        <v>248</v>
      </c>
      <c r="I190" s="52"/>
      <c r="J190" s="39">
        <v>5748000.0</v>
      </c>
      <c r="K190" s="40" t="s">
        <v>945</v>
      </c>
    </row>
    <row r="191">
      <c r="A191" s="42" t="s">
        <v>1349</v>
      </c>
      <c r="B191" s="43" t="s">
        <v>17</v>
      </c>
      <c r="C191" s="44">
        <v>2025.0</v>
      </c>
      <c r="D191" s="44">
        <v>8.0</v>
      </c>
      <c r="E191" s="45">
        <v>46253.0</v>
      </c>
      <c r="F191" s="44">
        <v>2.0</v>
      </c>
      <c r="G191" s="43" t="s">
        <v>626</v>
      </c>
      <c r="H191" s="51" t="s">
        <v>1350</v>
      </c>
      <c r="I191" s="53"/>
      <c r="J191" s="47">
        <v>1900000.0</v>
      </c>
      <c r="K191" s="48" t="s">
        <v>945</v>
      </c>
    </row>
    <row r="192">
      <c r="A192" s="34" t="s">
        <v>1351</v>
      </c>
      <c r="B192" s="35" t="s">
        <v>17</v>
      </c>
      <c r="C192" s="36">
        <v>2025.0</v>
      </c>
      <c r="D192" s="36">
        <v>8.0</v>
      </c>
      <c r="E192" s="37">
        <v>46253.0</v>
      </c>
      <c r="F192" s="36">
        <v>2.0</v>
      </c>
      <c r="G192" s="35" t="s">
        <v>626</v>
      </c>
      <c r="H192" s="50" t="s">
        <v>239</v>
      </c>
      <c r="I192" s="52"/>
      <c r="J192" s="39">
        <v>4445000.0</v>
      </c>
      <c r="K192" s="40" t="s">
        <v>945</v>
      </c>
    </row>
    <row r="193">
      <c r="A193" s="42" t="s">
        <v>1352</v>
      </c>
      <c r="B193" s="43" t="s">
        <v>17</v>
      </c>
      <c r="C193" s="44">
        <v>2025.0</v>
      </c>
      <c r="D193" s="44">
        <v>8.0</v>
      </c>
      <c r="E193" s="45">
        <v>46253.0</v>
      </c>
      <c r="F193" s="44">
        <v>2.0</v>
      </c>
      <c r="G193" s="43" t="s">
        <v>613</v>
      </c>
      <c r="H193" s="51" t="s">
        <v>1353</v>
      </c>
      <c r="I193" s="53"/>
      <c r="J193" s="47">
        <v>4500000.0</v>
      </c>
      <c r="K193" s="48" t="s">
        <v>945</v>
      </c>
    </row>
    <row r="194">
      <c r="A194" s="34" t="s">
        <v>1354</v>
      </c>
      <c r="B194" s="35" t="s">
        <v>17</v>
      </c>
      <c r="C194" s="36">
        <v>2025.0</v>
      </c>
      <c r="D194" s="36">
        <v>8.0</v>
      </c>
      <c r="E194" s="37">
        <v>46253.0</v>
      </c>
      <c r="F194" s="36">
        <v>2.0</v>
      </c>
      <c r="G194" s="35" t="s">
        <v>613</v>
      </c>
      <c r="H194" s="50" t="s">
        <v>1355</v>
      </c>
      <c r="I194" s="52"/>
      <c r="J194" s="38">
        <v>570000.0</v>
      </c>
      <c r="K194" s="40" t="s">
        <v>945</v>
      </c>
    </row>
    <row r="195">
      <c r="A195" s="42" t="s">
        <v>1356</v>
      </c>
      <c r="B195" s="43" t="s">
        <v>17</v>
      </c>
      <c r="C195" s="44">
        <v>2025.0</v>
      </c>
      <c r="D195" s="44">
        <v>9.0</v>
      </c>
      <c r="E195" s="45">
        <v>46267.0</v>
      </c>
      <c r="F195" s="44">
        <v>1.0</v>
      </c>
      <c r="G195" s="43" t="s">
        <v>602</v>
      </c>
      <c r="H195" s="51" t="s">
        <v>169</v>
      </c>
      <c r="I195" s="43" t="s">
        <v>1357</v>
      </c>
      <c r="J195" s="47">
        <v>2808480.0</v>
      </c>
      <c r="K195" s="48" t="s">
        <v>945</v>
      </c>
    </row>
    <row r="196">
      <c r="A196" s="34" t="s">
        <v>1358</v>
      </c>
      <c r="B196" s="35" t="s">
        <v>17</v>
      </c>
      <c r="C196" s="36">
        <v>2025.0</v>
      </c>
      <c r="D196" s="36">
        <v>9.0</v>
      </c>
      <c r="E196" s="37">
        <v>46267.0</v>
      </c>
      <c r="F196" s="36">
        <v>1.0</v>
      </c>
      <c r="G196" s="35" t="s">
        <v>602</v>
      </c>
      <c r="H196" s="50" t="s">
        <v>176</v>
      </c>
      <c r="I196" s="35" t="s">
        <v>1359</v>
      </c>
      <c r="J196" s="39">
        <v>3978680.0</v>
      </c>
      <c r="K196" s="40" t="s">
        <v>945</v>
      </c>
    </row>
    <row r="197">
      <c r="A197" s="42" t="s">
        <v>1360</v>
      </c>
      <c r="B197" s="43" t="s">
        <v>17</v>
      </c>
      <c r="C197" s="44">
        <v>2025.0</v>
      </c>
      <c r="D197" s="44">
        <v>9.0</v>
      </c>
      <c r="E197" s="45">
        <v>46267.0</v>
      </c>
      <c r="F197" s="44">
        <v>1.0</v>
      </c>
      <c r="G197" s="43" t="s">
        <v>602</v>
      </c>
      <c r="H197" s="51" t="s">
        <v>183</v>
      </c>
      <c r="I197" s="53"/>
      <c r="J197" s="46">
        <v>600000.0</v>
      </c>
      <c r="K197" s="48" t="s">
        <v>945</v>
      </c>
    </row>
    <row r="198">
      <c r="A198" s="34" t="s">
        <v>1361</v>
      </c>
      <c r="B198" s="35" t="s">
        <v>17</v>
      </c>
      <c r="C198" s="36">
        <v>2025.0</v>
      </c>
      <c r="D198" s="36">
        <v>9.0</v>
      </c>
      <c r="E198" s="37">
        <v>46267.0</v>
      </c>
      <c r="F198" s="36">
        <v>1.0</v>
      </c>
      <c r="G198" s="35" t="s">
        <v>602</v>
      </c>
      <c r="H198" s="50" t="s">
        <v>188</v>
      </c>
      <c r="I198" s="52"/>
      <c r="J198" s="38">
        <v>250000.0</v>
      </c>
      <c r="K198" s="40" t="s">
        <v>945</v>
      </c>
    </row>
    <row r="199">
      <c r="A199" s="42" t="s">
        <v>1362</v>
      </c>
      <c r="B199" s="43" t="s">
        <v>17</v>
      </c>
      <c r="C199" s="44">
        <v>2025.0</v>
      </c>
      <c r="D199" s="44">
        <v>9.0</v>
      </c>
      <c r="E199" s="45">
        <v>46267.0</v>
      </c>
      <c r="F199" s="44">
        <v>1.0</v>
      </c>
      <c r="G199" s="43" t="s">
        <v>607</v>
      </c>
      <c r="H199" s="51" t="s">
        <v>270</v>
      </c>
      <c r="I199" s="53"/>
      <c r="J199" s="47">
        <v>6260000.0</v>
      </c>
      <c r="K199" s="48" t="s">
        <v>945</v>
      </c>
    </row>
    <row r="200">
      <c r="A200" s="34" t="s">
        <v>1363</v>
      </c>
      <c r="B200" s="35" t="s">
        <v>17</v>
      </c>
      <c r="C200" s="36">
        <v>2025.0</v>
      </c>
      <c r="D200" s="36">
        <v>9.0</v>
      </c>
      <c r="E200" s="37">
        <v>46267.0</v>
      </c>
      <c r="F200" s="36">
        <v>1.0</v>
      </c>
      <c r="G200" s="35" t="s">
        <v>607</v>
      </c>
      <c r="H200" s="50" t="s">
        <v>197</v>
      </c>
      <c r="I200" s="52"/>
      <c r="J200" s="39">
        <v>3050000.0</v>
      </c>
      <c r="K200" s="40" t="s">
        <v>945</v>
      </c>
    </row>
    <row r="201">
      <c r="A201" s="42" t="s">
        <v>1364</v>
      </c>
      <c r="B201" s="43" t="s">
        <v>17</v>
      </c>
      <c r="C201" s="44">
        <v>2025.0</v>
      </c>
      <c r="D201" s="44">
        <v>9.0</v>
      </c>
      <c r="E201" s="45">
        <v>46267.0</v>
      </c>
      <c r="F201" s="44">
        <v>1.0</v>
      </c>
      <c r="G201" s="43" t="s">
        <v>613</v>
      </c>
      <c r="H201" s="51" t="s">
        <v>1365</v>
      </c>
      <c r="I201" s="53"/>
      <c r="J201" s="46">
        <v>380000.0</v>
      </c>
      <c r="K201" s="48" t="s">
        <v>945</v>
      </c>
    </row>
    <row r="202">
      <c r="A202" s="34" t="s">
        <v>1366</v>
      </c>
      <c r="B202" s="35" t="s">
        <v>17</v>
      </c>
      <c r="C202" s="36">
        <v>2025.0</v>
      </c>
      <c r="D202" s="36">
        <v>9.0</v>
      </c>
      <c r="E202" s="37">
        <v>46267.0</v>
      </c>
      <c r="F202" s="36">
        <v>1.0</v>
      </c>
      <c r="G202" s="35" t="s">
        <v>613</v>
      </c>
      <c r="H202" s="50" t="s">
        <v>1367</v>
      </c>
      <c r="I202" s="52"/>
      <c r="J202" s="39">
        <v>2000000.0</v>
      </c>
      <c r="K202" s="40" t="s">
        <v>945</v>
      </c>
    </row>
    <row r="203">
      <c r="A203" s="42" t="s">
        <v>1368</v>
      </c>
      <c r="B203" s="43" t="s">
        <v>17</v>
      </c>
      <c r="C203" s="44">
        <v>2025.0</v>
      </c>
      <c r="D203" s="44">
        <v>9.0</v>
      </c>
      <c r="E203" s="45">
        <v>46267.0</v>
      </c>
      <c r="F203" s="44">
        <v>1.0</v>
      </c>
      <c r="G203" s="43" t="s">
        <v>613</v>
      </c>
      <c r="H203" s="51" t="s">
        <v>1369</v>
      </c>
      <c r="I203" s="53"/>
      <c r="J203" s="47">
        <v>4200000.0</v>
      </c>
      <c r="K203" s="48" t="s">
        <v>945</v>
      </c>
    </row>
    <row r="204">
      <c r="A204" s="34" t="s">
        <v>1370</v>
      </c>
      <c r="B204" s="35" t="s">
        <v>17</v>
      </c>
      <c r="C204" s="36">
        <v>2025.0</v>
      </c>
      <c r="D204" s="36">
        <v>9.0</v>
      </c>
      <c r="E204" s="37">
        <v>46267.0</v>
      </c>
      <c r="F204" s="36">
        <v>1.0</v>
      </c>
      <c r="G204" s="35" t="s">
        <v>1156</v>
      </c>
      <c r="H204" s="50" t="s">
        <v>1371</v>
      </c>
      <c r="I204" s="52"/>
      <c r="J204" s="38">
        <v>200000.0</v>
      </c>
      <c r="K204" s="40" t="s">
        <v>945</v>
      </c>
    </row>
    <row r="205">
      <c r="A205" s="42" t="s">
        <v>1372</v>
      </c>
      <c r="B205" s="43" t="s">
        <v>17</v>
      </c>
      <c r="C205" s="44">
        <v>2025.0</v>
      </c>
      <c r="D205" s="44">
        <v>9.0</v>
      </c>
      <c r="E205" s="45">
        <v>46267.0</v>
      </c>
      <c r="F205" s="44">
        <v>1.0</v>
      </c>
      <c r="G205" s="43" t="s">
        <v>626</v>
      </c>
      <c r="H205" s="51" t="s">
        <v>243</v>
      </c>
      <c r="I205" s="53"/>
      <c r="J205" s="47">
        <v>1000000.0</v>
      </c>
      <c r="K205" s="48" t="s">
        <v>945</v>
      </c>
    </row>
    <row r="206">
      <c r="A206" s="34" t="s">
        <v>1373</v>
      </c>
      <c r="B206" s="35" t="s">
        <v>17</v>
      </c>
      <c r="C206" s="36">
        <v>2025.0</v>
      </c>
      <c r="D206" s="36">
        <v>9.0</v>
      </c>
      <c r="E206" s="37">
        <v>46267.0</v>
      </c>
      <c r="F206" s="36">
        <v>1.0</v>
      </c>
      <c r="G206" s="35" t="s">
        <v>613</v>
      </c>
      <c r="H206" s="50" t="s">
        <v>1374</v>
      </c>
      <c r="I206" s="52"/>
      <c r="J206" s="38">
        <v>162000.0</v>
      </c>
      <c r="K206" s="40" t="s">
        <v>945</v>
      </c>
    </row>
    <row r="207">
      <c r="A207" s="42" t="s">
        <v>1375</v>
      </c>
      <c r="B207" s="43" t="s">
        <v>17</v>
      </c>
      <c r="C207" s="44">
        <v>2025.0</v>
      </c>
      <c r="D207" s="44">
        <v>9.0</v>
      </c>
      <c r="E207" s="45">
        <v>46267.0</v>
      </c>
      <c r="F207" s="44">
        <v>1.0</v>
      </c>
      <c r="G207" s="43" t="s">
        <v>1156</v>
      </c>
      <c r="H207" s="51" t="s">
        <v>938</v>
      </c>
      <c r="I207" s="53"/>
      <c r="J207" s="47">
        <v>6000000.0</v>
      </c>
      <c r="K207" s="48" t="s">
        <v>945</v>
      </c>
    </row>
    <row r="208">
      <c r="A208" s="34" t="s">
        <v>1376</v>
      </c>
      <c r="B208" s="35" t="s">
        <v>17</v>
      </c>
      <c r="C208" s="36">
        <v>2025.0</v>
      </c>
      <c r="D208" s="36">
        <v>9.0</v>
      </c>
      <c r="E208" s="37">
        <v>46267.0</v>
      </c>
      <c r="F208" s="36">
        <v>1.0</v>
      </c>
      <c r="G208" s="35" t="s">
        <v>613</v>
      </c>
      <c r="H208" s="50" t="s">
        <v>1377</v>
      </c>
      <c r="I208" s="52"/>
      <c r="J208" s="39">
        <v>1500000.0</v>
      </c>
      <c r="K208" s="40" t="s">
        <v>945</v>
      </c>
    </row>
    <row r="209">
      <c r="A209" s="42" t="s">
        <v>1378</v>
      </c>
      <c r="B209" s="43" t="s">
        <v>17</v>
      </c>
      <c r="C209" s="44">
        <v>2025.0</v>
      </c>
      <c r="D209" s="44">
        <v>9.0</v>
      </c>
      <c r="E209" s="45">
        <v>46281.0</v>
      </c>
      <c r="F209" s="44">
        <v>2.0</v>
      </c>
      <c r="G209" s="43" t="s">
        <v>602</v>
      </c>
      <c r="H209" s="51" t="s">
        <v>169</v>
      </c>
      <c r="I209" s="43" t="s">
        <v>1379</v>
      </c>
      <c r="J209" s="47">
        <v>2811600.0</v>
      </c>
      <c r="K209" s="48" t="s">
        <v>945</v>
      </c>
    </row>
    <row r="210">
      <c r="A210" s="34" t="s">
        <v>1380</v>
      </c>
      <c r="B210" s="35" t="s">
        <v>17</v>
      </c>
      <c r="C210" s="36">
        <v>2025.0</v>
      </c>
      <c r="D210" s="36">
        <v>9.0</v>
      </c>
      <c r="E210" s="37">
        <v>46281.0</v>
      </c>
      <c r="F210" s="36">
        <v>2.0</v>
      </c>
      <c r="G210" s="35" t="s">
        <v>602</v>
      </c>
      <c r="H210" s="50" t="s">
        <v>176</v>
      </c>
      <c r="I210" s="35" t="s">
        <v>1381</v>
      </c>
      <c r="J210" s="39">
        <v>3983100.0</v>
      </c>
      <c r="K210" s="40" t="s">
        <v>945</v>
      </c>
    </row>
    <row r="211">
      <c r="A211" s="42" t="s">
        <v>1382</v>
      </c>
      <c r="B211" s="43" t="s">
        <v>17</v>
      </c>
      <c r="C211" s="44">
        <v>2025.0</v>
      </c>
      <c r="D211" s="44">
        <v>9.0</v>
      </c>
      <c r="E211" s="45">
        <v>46281.0</v>
      </c>
      <c r="F211" s="44">
        <v>2.0</v>
      </c>
      <c r="G211" s="43" t="s">
        <v>602</v>
      </c>
      <c r="H211" s="51" t="s">
        <v>183</v>
      </c>
      <c r="I211" s="53"/>
      <c r="J211" s="46">
        <v>600000.0</v>
      </c>
      <c r="K211" s="48" t="s">
        <v>945</v>
      </c>
    </row>
    <row r="212">
      <c r="A212" s="34" t="s">
        <v>1383</v>
      </c>
      <c r="B212" s="35" t="s">
        <v>17</v>
      </c>
      <c r="C212" s="36">
        <v>2025.0</v>
      </c>
      <c r="D212" s="36">
        <v>9.0</v>
      </c>
      <c r="E212" s="37">
        <v>46281.0</v>
      </c>
      <c r="F212" s="36">
        <v>2.0</v>
      </c>
      <c r="G212" s="35" t="s">
        <v>602</v>
      </c>
      <c r="H212" s="50" t="s">
        <v>188</v>
      </c>
      <c r="I212" s="52"/>
      <c r="J212" s="38">
        <v>250000.0</v>
      </c>
      <c r="K212" s="40" t="s">
        <v>945</v>
      </c>
    </row>
    <row r="213">
      <c r="A213" s="42" t="s">
        <v>1384</v>
      </c>
      <c r="B213" s="43" t="s">
        <v>17</v>
      </c>
      <c r="C213" s="44">
        <v>2025.0</v>
      </c>
      <c r="D213" s="44">
        <v>9.0</v>
      </c>
      <c r="E213" s="45">
        <v>46281.0</v>
      </c>
      <c r="F213" s="44">
        <v>2.0</v>
      </c>
      <c r="G213" s="43" t="s">
        <v>613</v>
      </c>
      <c r="H213" s="51" t="s">
        <v>1385</v>
      </c>
      <c r="I213" s="53"/>
      <c r="J213" s="46">
        <v>300000.0</v>
      </c>
      <c r="K213" s="48" t="s">
        <v>945</v>
      </c>
    </row>
    <row r="214">
      <c r="A214" s="34" t="s">
        <v>1386</v>
      </c>
      <c r="B214" s="35" t="s">
        <v>17</v>
      </c>
      <c r="C214" s="36">
        <v>2025.0</v>
      </c>
      <c r="D214" s="36">
        <v>9.0</v>
      </c>
      <c r="E214" s="37">
        <v>46281.0</v>
      </c>
      <c r="F214" s="36">
        <v>2.0</v>
      </c>
      <c r="G214" s="35" t="s">
        <v>626</v>
      </c>
      <c r="H214" s="50" t="s">
        <v>1387</v>
      </c>
      <c r="I214" s="35" t="s">
        <v>1388</v>
      </c>
      <c r="J214" s="39">
        <v>5272000.0</v>
      </c>
      <c r="K214" s="40" t="s">
        <v>945</v>
      </c>
    </row>
    <row r="215">
      <c r="A215" s="42" t="s">
        <v>1389</v>
      </c>
      <c r="B215" s="43" t="s">
        <v>17</v>
      </c>
      <c r="C215" s="44">
        <v>2025.0</v>
      </c>
      <c r="D215" s="44">
        <v>9.0</v>
      </c>
      <c r="E215" s="45">
        <v>46281.0</v>
      </c>
      <c r="F215" s="44">
        <v>2.0</v>
      </c>
      <c r="G215" s="43" t="s">
        <v>626</v>
      </c>
      <c r="H215" s="51" t="s">
        <v>1390</v>
      </c>
      <c r="I215" s="43" t="s">
        <v>1391</v>
      </c>
      <c r="J215" s="47">
        <v>1190000.0</v>
      </c>
      <c r="K215" s="48" t="s">
        <v>945</v>
      </c>
    </row>
    <row r="216">
      <c r="A216" s="34" t="s">
        <v>1392</v>
      </c>
      <c r="B216" s="35" t="s">
        <v>17</v>
      </c>
      <c r="C216" s="36">
        <v>2025.0</v>
      </c>
      <c r="D216" s="36">
        <v>9.0</v>
      </c>
      <c r="E216" s="37">
        <v>46281.0</v>
      </c>
      <c r="F216" s="36">
        <v>2.0</v>
      </c>
      <c r="G216" s="35" t="s">
        <v>613</v>
      </c>
      <c r="H216" s="50" t="s">
        <v>1393</v>
      </c>
      <c r="I216" s="52"/>
      <c r="J216" s="38">
        <v>600000.0</v>
      </c>
      <c r="K216" s="40" t="s">
        <v>945</v>
      </c>
    </row>
    <row r="217">
      <c r="A217" s="42" t="s">
        <v>1394</v>
      </c>
      <c r="B217" s="43" t="s">
        <v>17</v>
      </c>
      <c r="C217" s="44">
        <v>2025.0</v>
      </c>
      <c r="D217" s="44">
        <v>9.0</v>
      </c>
      <c r="E217" s="45">
        <v>46281.0</v>
      </c>
      <c r="F217" s="44">
        <v>2.0</v>
      </c>
      <c r="G217" s="43" t="s">
        <v>626</v>
      </c>
      <c r="H217" s="51" t="s">
        <v>239</v>
      </c>
      <c r="I217" s="53"/>
      <c r="J217" s="47">
        <v>4125000.0</v>
      </c>
      <c r="K217" s="48" t="s">
        <v>945</v>
      </c>
    </row>
    <row r="218">
      <c r="A218" s="34" t="s">
        <v>1395</v>
      </c>
      <c r="B218" s="35" t="s">
        <v>17</v>
      </c>
      <c r="C218" s="36">
        <v>2025.0</v>
      </c>
      <c r="D218" s="36">
        <v>9.0</v>
      </c>
      <c r="E218" s="37">
        <v>46281.0</v>
      </c>
      <c r="F218" s="36">
        <v>2.0</v>
      </c>
      <c r="G218" s="35" t="s">
        <v>613</v>
      </c>
      <c r="H218" s="50" t="s">
        <v>200</v>
      </c>
      <c r="I218" s="52"/>
      <c r="J218" s="38">
        <v>220000.0</v>
      </c>
      <c r="K218" s="40" t="s">
        <v>945</v>
      </c>
    </row>
    <row r="219">
      <c r="A219" s="42" t="s">
        <v>1396</v>
      </c>
      <c r="B219" s="43" t="s">
        <v>17</v>
      </c>
      <c r="C219" s="44">
        <v>2025.0</v>
      </c>
      <c r="D219" s="44">
        <v>9.0</v>
      </c>
      <c r="E219" s="45">
        <v>46281.0</v>
      </c>
      <c r="F219" s="44">
        <v>2.0</v>
      </c>
      <c r="G219" s="43" t="s">
        <v>613</v>
      </c>
      <c r="H219" s="51" t="s">
        <v>803</v>
      </c>
      <c r="I219" s="53"/>
      <c r="J219" s="46">
        <v>800000.0</v>
      </c>
      <c r="K219" s="48" t="s">
        <v>945</v>
      </c>
    </row>
    <row r="220">
      <c r="A220" s="34" t="s">
        <v>1397</v>
      </c>
      <c r="B220" s="35" t="s">
        <v>17</v>
      </c>
      <c r="C220" s="36">
        <v>2025.0</v>
      </c>
      <c r="D220" s="36">
        <v>9.0</v>
      </c>
      <c r="E220" s="37">
        <v>46281.0</v>
      </c>
      <c r="F220" s="36">
        <v>2.0</v>
      </c>
      <c r="G220" s="35" t="s">
        <v>613</v>
      </c>
      <c r="H220" s="50" t="s">
        <v>1398</v>
      </c>
      <c r="I220" s="52"/>
      <c r="J220" s="39">
        <v>1500000.0</v>
      </c>
      <c r="K220" s="40" t="s">
        <v>945</v>
      </c>
    </row>
    <row r="221">
      <c r="A221" s="42" t="s">
        <v>1399</v>
      </c>
      <c r="B221" s="43" t="s">
        <v>17</v>
      </c>
      <c r="C221" s="44">
        <v>2025.0</v>
      </c>
      <c r="D221" s="44">
        <v>9.0</v>
      </c>
      <c r="E221" s="45">
        <v>46281.0</v>
      </c>
      <c r="F221" s="44">
        <v>2.0</v>
      </c>
      <c r="G221" s="43" t="s">
        <v>613</v>
      </c>
      <c r="H221" s="51" t="s">
        <v>426</v>
      </c>
      <c r="I221" s="53"/>
      <c r="J221" s="47">
        <v>4500000.0</v>
      </c>
      <c r="K221" s="48" t="s">
        <v>945</v>
      </c>
    </row>
    <row r="222">
      <c r="A222" s="34" t="s">
        <v>1400</v>
      </c>
      <c r="B222" s="35" t="s">
        <v>17</v>
      </c>
      <c r="C222" s="36">
        <v>2025.0</v>
      </c>
      <c r="D222" s="36">
        <v>9.0</v>
      </c>
      <c r="E222" s="37">
        <v>46281.0</v>
      </c>
      <c r="F222" s="36">
        <v>2.0</v>
      </c>
      <c r="G222" s="35" t="s">
        <v>613</v>
      </c>
      <c r="H222" s="50" t="s">
        <v>211</v>
      </c>
      <c r="I222" s="52"/>
      <c r="J222" s="39">
        <v>1069000.0</v>
      </c>
      <c r="K222" s="40" t="s">
        <v>945</v>
      </c>
    </row>
    <row r="223">
      <c r="A223" s="42" t="s">
        <v>1401</v>
      </c>
      <c r="B223" s="43" t="s">
        <v>17</v>
      </c>
      <c r="C223" s="44">
        <v>2025.0</v>
      </c>
      <c r="D223" s="44">
        <v>10.0</v>
      </c>
      <c r="E223" s="45">
        <v>46295.0</v>
      </c>
      <c r="F223" s="44">
        <v>1.0</v>
      </c>
      <c r="G223" s="43" t="s">
        <v>602</v>
      </c>
      <c r="H223" s="51" t="s">
        <v>169</v>
      </c>
      <c r="I223" s="43" t="s">
        <v>1402</v>
      </c>
      <c r="J223" s="47">
        <v>2976360.0</v>
      </c>
      <c r="K223" s="48" t="s">
        <v>945</v>
      </c>
    </row>
    <row r="224">
      <c r="A224" s="34" t="s">
        <v>1403</v>
      </c>
      <c r="B224" s="35" t="s">
        <v>17</v>
      </c>
      <c r="C224" s="36">
        <v>2025.0</v>
      </c>
      <c r="D224" s="36">
        <v>10.0</v>
      </c>
      <c r="E224" s="37">
        <v>46295.0</v>
      </c>
      <c r="F224" s="36">
        <v>1.0</v>
      </c>
      <c r="G224" s="35" t="s">
        <v>602</v>
      </c>
      <c r="H224" s="50" t="s">
        <v>176</v>
      </c>
      <c r="I224" s="35" t="s">
        <v>1404</v>
      </c>
      <c r="J224" s="39">
        <v>4216510.0</v>
      </c>
      <c r="K224" s="40" t="s">
        <v>945</v>
      </c>
    </row>
    <row r="225">
      <c r="A225" s="42" t="s">
        <v>1405</v>
      </c>
      <c r="B225" s="43" t="s">
        <v>17</v>
      </c>
      <c r="C225" s="44">
        <v>2025.0</v>
      </c>
      <c r="D225" s="44">
        <v>10.0</v>
      </c>
      <c r="E225" s="45">
        <v>46295.0</v>
      </c>
      <c r="F225" s="44">
        <v>1.0</v>
      </c>
      <c r="G225" s="43" t="s">
        <v>602</v>
      </c>
      <c r="H225" s="51" t="s">
        <v>183</v>
      </c>
      <c r="I225" s="53"/>
      <c r="J225" s="46">
        <v>700000.0</v>
      </c>
      <c r="K225" s="48" t="s">
        <v>945</v>
      </c>
    </row>
    <row r="226">
      <c r="A226" s="34" t="s">
        <v>1406</v>
      </c>
      <c r="B226" s="35" t="s">
        <v>17</v>
      </c>
      <c r="C226" s="36">
        <v>2025.0</v>
      </c>
      <c r="D226" s="36">
        <v>10.0</v>
      </c>
      <c r="E226" s="37">
        <v>46295.0</v>
      </c>
      <c r="F226" s="36">
        <v>1.0</v>
      </c>
      <c r="G226" s="35" t="s">
        <v>602</v>
      </c>
      <c r="H226" s="50" t="s">
        <v>188</v>
      </c>
      <c r="I226" s="52"/>
      <c r="J226" s="38">
        <v>250000.0</v>
      </c>
      <c r="K226" s="40" t="s">
        <v>945</v>
      </c>
    </row>
    <row r="227">
      <c r="A227" s="42" t="s">
        <v>1407</v>
      </c>
      <c r="B227" s="43" t="s">
        <v>17</v>
      </c>
      <c r="C227" s="44">
        <v>2025.0</v>
      </c>
      <c r="D227" s="44">
        <v>10.0</v>
      </c>
      <c r="E227" s="45">
        <v>46295.0</v>
      </c>
      <c r="F227" s="44">
        <v>1.0</v>
      </c>
      <c r="G227" s="43" t="s">
        <v>607</v>
      </c>
      <c r="H227" s="51" t="s">
        <v>302</v>
      </c>
      <c r="I227" s="43" t="s">
        <v>1408</v>
      </c>
      <c r="J227" s="47">
        <v>1.5625E7</v>
      </c>
      <c r="K227" s="48" t="s">
        <v>945</v>
      </c>
    </row>
    <row r="228">
      <c r="A228" s="34" t="s">
        <v>1409</v>
      </c>
      <c r="B228" s="35" t="s">
        <v>17</v>
      </c>
      <c r="C228" s="36">
        <v>2025.0</v>
      </c>
      <c r="D228" s="36">
        <v>10.0</v>
      </c>
      <c r="E228" s="37">
        <v>46295.0</v>
      </c>
      <c r="F228" s="36">
        <v>1.0</v>
      </c>
      <c r="G228" s="35" t="s">
        <v>607</v>
      </c>
      <c r="H228" s="50" t="s">
        <v>197</v>
      </c>
      <c r="I228" s="35" t="s">
        <v>1410</v>
      </c>
      <c r="J228" s="39">
        <v>3175000.0</v>
      </c>
      <c r="K228" s="40" t="s">
        <v>945</v>
      </c>
    </row>
    <row r="229">
      <c r="A229" s="42" t="s">
        <v>1411</v>
      </c>
      <c r="B229" s="43" t="s">
        <v>17</v>
      </c>
      <c r="C229" s="44">
        <v>2025.0</v>
      </c>
      <c r="D229" s="44">
        <v>10.0</v>
      </c>
      <c r="E229" s="45">
        <v>46295.0</v>
      </c>
      <c r="F229" s="44">
        <v>1.0</v>
      </c>
      <c r="G229" s="43" t="s">
        <v>602</v>
      </c>
      <c r="H229" s="51" t="s">
        <v>1412</v>
      </c>
      <c r="I229" s="53"/>
      <c r="J229" s="46">
        <v>220000.0</v>
      </c>
      <c r="K229" s="48" t="s">
        <v>945</v>
      </c>
    </row>
    <row r="230">
      <c r="A230" s="34" t="s">
        <v>1413</v>
      </c>
      <c r="B230" s="35" t="s">
        <v>17</v>
      </c>
      <c r="C230" s="36">
        <v>2025.0</v>
      </c>
      <c r="D230" s="36">
        <v>10.0</v>
      </c>
      <c r="E230" s="37">
        <v>46295.0</v>
      </c>
      <c r="F230" s="36">
        <v>1.0</v>
      </c>
      <c r="G230" s="35" t="s">
        <v>607</v>
      </c>
      <c r="H230" s="50" t="s">
        <v>275</v>
      </c>
      <c r="I230" s="52"/>
      <c r="J230" s="38">
        <v>350000.0</v>
      </c>
      <c r="K230" s="40" t="s">
        <v>945</v>
      </c>
    </row>
    <row r="231">
      <c r="A231" s="42" t="s">
        <v>1414</v>
      </c>
      <c r="B231" s="43" t="s">
        <v>17</v>
      </c>
      <c r="C231" s="44">
        <v>2025.0</v>
      </c>
      <c r="D231" s="44">
        <v>10.0</v>
      </c>
      <c r="E231" s="45">
        <v>46295.0</v>
      </c>
      <c r="F231" s="44">
        <v>1.0</v>
      </c>
      <c r="G231" s="43" t="s">
        <v>613</v>
      </c>
      <c r="H231" s="51" t="s">
        <v>1415</v>
      </c>
      <c r="I231" s="53"/>
      <c r="J231" s="47">
        <v>1060000.0</v>
      </c>
      <c r="K231" s="48" t="s">
        <v>945</v>
      </c>
    </row>
    <row r="232">
      <c r="A232" s="34" t="s">
        <v>1416</v>
      </c>
      <c r="B232" s="35" t="s">
        <v>17</v>
      </c>
      <c r="C232" s="36">
        <v>2025.0</v>
      </c>
      <c r="D232" s="36">
        <v>10.0</v>
      </c>
      <c r="E232" s="37">
        <v>46295.0</v>
      </c>
      <c r="F232" s="36">
        <v>1.0</v>
      </c>
      <c r="G232" s="35" t="s">
        <v>613</v>
      </c>
      <c r="H232" s="50" t="s">
        <v>1417</v>
      </c>
      <c r="I232" s="52"/>
      <c r="J232" s="39">
        <v>1600000.0</v>
      </c>
      <c r="K232" s="40" t="s">
        <v>945</v>
      </c>
    </row>
    <row r="233">
      <c r="A233" s="42" t="s">
        <v>1418</v>
      </c>
      <c r="B233" s="43" t="s">
        <v>17</v>
      </c>
      <c r="C233" s="44">
        <v>2025.0</v>
      </c>
      <c r="D233" s="44">
        <v>10.0</v>
      </c>
      <c r="E233" s="45">
        <v>46295.0</v>
      </c>
      <c r="F233" s="44">
        <v>1.0</v>
      </c>
      <c r="G233" s="43" t="s">
        <v>613</v>
      </c>
      <c r="H233" s="51" t="s">
        <v>1419</v>
      </c>
      <c r="I233" s="53"/>
      <c r="J233" s="47">
        <v>1500000.0</v>
      </c>
      <c r="K233" s="48" t="s">
        <v>945</v>
      </c>
    </row>
    <row r="234">
      <c r="A234" s="34" t="s">
        <v>1420</v>
      </c>
      <c r="B234" s="35" t="s">
        <v>17</v>
      </c>
      <c r="C234" s="36">
        <v>2025.0</v>
      </c>
      <c r="D234" s="36">
        <v>10.0</v>
      </c>
      <c r="E234" s="37">
        <v>46295.0</v>
      </c>
      <c r="F234" s="36">
        <v>1.0</v>
      </c>
      <c r="G234" s="35" t="s">
        <v>613</v>
      </c>
      <c r="H234" s="50" t="s">
        <v>1421</v>
      </c>
      <c r="I234" s="52"/>
      <c r="J234" s="39">
        <v>1100000.0</v>
      </c>
      <c r="K234" s="40" t="s">
        <v>945</v>
      </c>
    </row>
    <row r="235">
      <c r="A235" s="42" t="s">
        <v>1422</v>
      </c>
      <c r="B235" s="43" t="s">
        <v>17</v>
      </c>
      <c r="C235" s="44">
        <v>2025.0</v>
      </c>
      <c r="D235" s="44">
        <v>10.0</v>
      </c>
      <c r="E235" s="45">
        <v>46295.0</v>
      </c>
      <c r="F235" s="44">
        <v>1.0</v>
      </c>
      <c r="G235" s="43" t="s">
        <v>613</v>
      </c>
      <c r="H235" s="51" t="s">
        <v>211</v>
      </c>
      <c r="I235" s="53"/>
      <c r="J235" s="47">
        <v>1226000.0</v>
      </c>
      <c r="K235" s="48" t="s">
        <v>945</v>
      </c>
    </row>
    <row r="236">
      <c r="A236" s="34" t="s">
        <v>1423</v>
      </c>
      <c r="B236" s="35" t="s">
        <v>17</v>
      </c>
      <c r="C236" s="36">
        <v>2025.0</v>
      </c>
      <c r="D236" s="36">
        <v>10.0</v>
      </c>
      <c r="E236" s="37">
        <v>46295.0</v>
      </c>
      <c r="F236" s="36">
        <v>1.0</v>
      </c>
      <c r="G236" s="35" t="s">
        <v>613</v>
      </c>
      <c r="H236" s="50" t="s">
        <v>1424</v>
      </c>
      <c r="I236" s="52"/>
      <c r="J236" s="38">
        <v>190000.0</v>
      </c>
      <c r="K236" s="40" t="s">
        <v>945</v>
      </c>
    </row>
    <row r="237">
      <c r="A237" s="42" t="s">
        <v>1425</v>
      </c>
      <c r="B237" s="43" t="s">
        <v>17</v>
      </c>
      <c r="C237" s="44">
        <v>2025.0</v>
      </c>
      <c r="D237" s="44">
        <v>10.0</v>
      </c>
      <c r="E237" s="45">
        <v>46295.0</v>
      </c>
      <c r="F237" s="44">
        <v>1.0</v>
      </c>
      <c r="G237" s="43" t="s">
        <v>613</v>
      </c>
      <c r="H237" s="51" t="s">
        <v>1426</v>
      </c>
      <c r="I237" s="53"/>
      <c r="J237" s="46">
        <v>360000.0</v>
      </c>
      <c r="K237" s="48" t="s">
        <v>945</v>
      </c>
    </row>
    <row r="238">
      <c r="A238" s="34" t="s">
        <v>1427</v>
      </c>
      <c r="B238" s="35" t="s">
        <v>17</v>
      </c>
      <c r="C238" s="36">
        <v>2025.0</v>
      </c>
      <c r="D238" s="36">
        <v>10.0</v>
      </c>
      <c r="E238" s="37">
        <v>46295.0</v>
      </c>
      <c r="F238" s="36">
        <v>1.0</v>
      </c>
      <c r="G238" s="35" t="s">
        <v>613</v>
      </c>
      <c r="H238" s="50" t="s">
        <v>1398</v>
      </c>
      <c r="I238" s="52"/>
      <c r="J238" s="39">
        <v>1000000.0</v>
      </c>
      <c r="K238" s="40" t="s">
        <v>945</v>
      </c>
    </row>
    <row r="239">
      <c r="A239" s="42" t="s">
        <v>1428</v>
      </c>
      <c r="B239" s="43" t="s">
        <v>17</v>
      </c>
      <c r="C239" s="44">
        <v>2025.0</v>
      </c>
      <c r="D239" s="44">
        <v>10.0</v>
      </c>
      <c r="E239" s="45">
        <v>46308.0</v>
      </c>
      <c r="F239" s="44">
        <v>2.0</v>
      </c>
      <c r="G239" s="43" t="s">
        <v>602</v>
      </c>
      <c r="H239" s="51" t="s">
        <v>169</v>
      </c>
      <c r="I239" s="43" t="s">
        <v>1429</v>
      </c>
      <c r="J239" s="47">
        <v>2775840.0</v>
      </c>
      <c r="K239" s="48" t="s">
        <v>945</v>
      </c>
    </row>
    <row r="240">
      <c r="A240" s="34" t="s">
        <v>1430</v>
      </c>
      <c r="B240" s="35" t="s">
        <v>17</v>
      </c>
      <c r="C240" s="36">
        <v>2025.0</v>
      </c>
      <c r="D240" s="36">
        <v>10.0</v>
      </c>
      <c r="E240" s="37">
        <v>46308.0</v>
      </c>
      <c r="F240" s="36">
        <v>2.0</v>
      </c>
      <c r="G240" s="35" t="s">
        <v>602</v>
      </c>
      <c r="H240" s="50" t="s">
        <v>176</v>
      </c>
      <c r="I240" s="35" t="s">
        <v>1431</v>
      </c>
      <c r="J240" s="39">
        <v>3932440.0</v>
      </c>
      <c r="K240" s="40" t="s">
        <v>945</v>
      </c>
    </row>
    <row r="241">
      <c r="A241" s="42" t="s">
        <v>1432</v>
      </c>
      <c r="B241" s="43" t="s">
        <v>17</v>
      </c>
      <c r="C241" s="44">
        <v>2025.0</v>
      </c>
      <c r="D241" s="44">
        <v>10.0</v>
      </c>
      <c r="E241" s="45">
        <v>46308.0</v>
      </c>
      <c r="F241" s="44">
        <v>2.0</v>
      </c>
      <c r="G241" s="43" t="s">
        <v>602</v>
      </c>
      <c r="H241" s="51" t="s">
        <v>183</v>
      </c>
      <c r="I241" s="53"/>
      <c r="J241" s="46">
        <v>700000.0</v>
      </c>
      <c r="K241" s="48" t="s">
        <v>945</v>
      </c>
    </row>
    <row r="242">
      <c r="A242" s="34" t="s">
        <v>1433</v>
      </c>
      <c r="B242" s="35" t="s">
        <v>17</v>
      </c>
      <c r="C242" s="36">
        <v>2025.0</v>
      </c>
      <c r="D242" s="36">
        <v>10.0</v>
      </c>
      <c r="E242" s="37">
        <v>46308.0</v>
      </c>
      <c r="F242" s="36">
        <v>2.0</v>
      </c>
      <c r="G242" s="35" t="s">
        <v>602</v>
      </c>
      <c r="H242" s="50" t="s">
        <v>188</v>
      </c>
      <c r="I242" s="52"/>
      <c r="J242" s="38">
        <v>250000.0</v>
      </c>
      <c r="K242" s="40" t="s">
        <v>945</v>
      </c>
    </row>
    <row r="243">
      <c r="A243" s="42" t="s">
        <v>1434</v>
      </c>
      <c r="B243" s="43" t="s">
        <v>17</v>
      </c>
      <c r="C243" s="44">
        <v>2025.0</v>
      </c>
      <c r="D243" s="44">
        <v>10.0</v>
      </c>
      <c r="E243" s="45">
        <v>46308.0</v>
      </c>
      <c r="F243" s="44">
        <v>2.0</v>
      </c>
      <c r="G243" s="43" t="s">
        <v>613</v>
      </c>
      <c r="H243" s="51" t="s">
        <v>200</v>
      </c>
      <c r="I243" s="53"/>
      <c r="J243" s="46">
        <v>220000.0</v>
      </c>
      <c r="K243" s="48" t="s">
        <v>945</v>
      </c>
    </row>
    <row r="244">
      <c r="A244" s="34" t="s">
        <v>1435</v>
      </c>
      <c r="B244" s="35" t="s">
        <v>17</v>
      </c>
      <c r="C244" s="36">
        <v>2025.0</v>
      </c>
      <c r="D244" s="36">
        <v>10.0</v>
      </c>
      <c r="E244" s="37">
        <v>46308.0</v>
      </c>
      <c r="F244" s="36">
        <v>2.0</v>
      </c>
      <c r="G244" s="35" t="s">
        <v>1156</v>
      </c>
      <c r="H244" s="50" t="s">
        <v>938</v>
      </c>
      <c r="I244" s="52"/>
      <c r="J244" s="39">
        <v>6000000.0</v>
      </c>
      <c r="K244" s="40" t="s">
        <v>945</v>
      </c>
    </row>
    <row r="245">
      <c r="A245" s="42" t="s">
        <v>1436</v>
      </c>
      <c r="B245" s="43" t="s">
        <v>17</v>
      </c>
      <c r="C245" s="44">
        <v>2025.0</v>
      </c>
      <c r="D245" s="44">
        <v>10.0</v>
      </c>
      <c r="E245" s="45">
        <v>46308.0</v>
      </c>
      <c r="F245" s="44">
        <v>2.0</v>
      </c>
      <c r="G245" s="43" t="s">
        <v>613</v>
      </c>
      <c r="H245" s="51" t="s">
        <v>1437</v>
      </c>
      <c r="I245" s="53"/>
      <c r="J245" s="46">
        <v>450000.0</v>
      </c>
      <c r="K245" s="48" t="s">
        <v>945</v>
      </c>
    </row>
    <row r="246">
      <c r="A246" s="34" t="s">
        <v>1438</v>
      </c>
      <c r="B246" s="35" t="s">
        <v>17</v>
      </c>
      <c r="C246" s="36">
        <v>2025.0</v>
      </c>
      <c r="D246" s="36">
        <v>10.0</v>
      </c>
      <c r="E246" s="37">
        <v>46308.0</v>
      </c>
      <c r="F246" s="36">
        <v>2.0</v>
      </c>
      <c r="G246" s="35" t="s">
        <v>613</v>
      </c>
      <c r="H246" s="50" t="s">
        <v>1439</v>
      </c>
      <c r="I246" s="52"/>
      <c r="J246" s="38">
        <v>500000.0</v>
      </c>
      <c r="K246" s="40" t="s">
        <v>945</v>
      </c>
    </row>
    <row r="247">
      <c r="A247" s="42" t="s">
        <v>1440</v>
      </c>
      <c r="B247" s="43" t="s">
        <v>17</v>
      </c>
      <c r="C247" s="44">
        <v>2025.0</v>
      </c>
      <c r="D247" s="44">
        <v>10.0</v>
      </c>
      <c r="E247" s="45">
        <v>46308.0</v>
      </c>
      <c r="F247" s="44">
        <v>2.0</v>
      </c>
      <c r="G247" s="43" t="s">
        <v>613</v>
      </c>
      <c r="H247" s="51" t="s">
        <v>1441</v>
      </c>
      <c r="I247" s="53"/>
      <c r="J247" s="46">
        <v>870000.0</v>
      </c>
      <c r="K247" s="48" t="s">
        <v>945</v>
      </c>
    </row>
    <row r="248">
      <c r="A248" s="34" t="s">
        <v>1442</v>
      </c>
      <c r="B248" s="35" t="s">
        <v>17</v>
      </c>
      <c r="C248" s="36">
        <v>2025.0</v>
      </c>
      <c r="D248" s="36">
        <v>10.0</v>
      </c>
      <c r="E248" s="37">
        <v>46308.0</v>
      </c>
      <c r="F248" s="36">
        <v>2.0</v>
      </c>
      <c r="G248" s="35" t="s">
        <v>613</v>
      </c>
      <c r="H248" s="50" t="s">
        <v>1443</v>
      </c>
      <c r="I248" s="52"/>
      <c r="J248" s="38">
        <v>450000.0</v>
      </c>
      <c r="K248" s="40" t="s">
        <v>945</v>
      </c>
    </row>
    <row r="249">
      <c r="A249" s="42" t="s">
        <v>1444</v>
      </c>
      <c r="B249" s="43" t="s">
        <v>17</v>
      </c>
      <c r="C249" s="44">
        <v>2025.0</v>
      </c>
      <c r="D249" s="44">
        <v>10.0</v>
      </c>
      <c r="E249" s="45">
        <v>46308.0</v>
      </c>
      <c r="F249" s="44">
        <v>2.0</v>
      </c>
      <c r="G249" s="43" t="s">
        <v>613</v>
      </c>
      <c r="H249" s="51" t="s">
        <v>1445</v>
      </c>
      <c r="I249" s="53"/>
      <c r="J249" s="47">
        <v>1000000.0</v>
      </c>
      <c r="K249" s="48" t="s">
        <v>945</v>
      </c>
    </row>
    <row r="250">
      <c r="A250" s="34" t="s">
        <v>1446</v>
      </c>
      <c r="B250" s="35" t="s">
        <v>17</v>
      </c>
      <c r="C250" s="36">
        <v>2025.0</v>
      </c>
      <c r="D250" s="36">
        <v>10.0</v>
      </c>
      <c r="E250" s="37">
        <v>46308.0</v>
      </c>
      <c r="F250" s="36">
        <v>2.0</v>
      </c>
      <c r="G250" s="35" t="s">
        <v>626</v>
      </c>
      <c r="H250" s="50" t="s">
        <v>239</v>
      </c>
      <c r="I250" s="52"/>
      <c r="J250" s="39">
        <v>6450000.0</v>
      </c>
      <c r="K250" s="40" t="s">
        <v>945</v>
      </c>
    </row>
    <row r="251">
      <c r="A251" s="42" t="s">
        <v>1447</v>
      </c>
      <c r="B251" s="43" t="s">
        <v>17</v>
      </c>
      <c r="C251" s="44">
        <v>2025.0</v>
      </c>
      <c r="D251" s="44">
        <v>10.0</v>
      </c>
      <c r="E251" s="45">
        <v>46308.0</v>
      </c>
      <c r="F251" s="44">
        <v>2.0</v>
      </c>
      <c r="G251" s="43" t="s">
        <v>626</v>
      </c>
      <c r="H251" s="51" t="s">
        <v>248</v>
      </c>
      <c r="I251" s="53"/>
      <c r="J251" s="47">
        <v>2520000.0</v>
      </c>
      <c r="K251" s="48" t="s">
        <v>945</v>
      </c>
    </row>
    <row r="252">
      <c r="A252" s="34" t="s">
        <v>1448</v>
      </c>
      <c r="B252" s="35" t="s">
        <v>17</v>
      </c>
      <c r="C252" s="36">
        <v>2025.0</v>
      </c>
      <c r="D252" s="36">
        <v>10.0</v>
      </c>
      <c r="E252" s="37">
        <v>46308.0</v>
      </c>
      <c r="F252" s="36">
        <v>2.0</v>
      </c>
      <c r="G252" s="35" t="s">
        <v>613</v>
      </c>
      <c r="H252" s="50" t="s">
        <v>1449</v>
      </c>
      <c r="I252" s="52"/>
      <c r="J252" s="38">
        <v>600000.0</v>
      </c>
      <c r="K252" s="40" t="s">
        <v>945</v>
      </c>
    </row>
    <row r="253">
      <c r="A253" s="42" t="s">
        <v>1450</v>
      </c>
      <c r="B253" s="43" t="s">
        <v>17</v>
      </c>
      <c r="C253" s="44">
        <v>2025.0</v>
      </c>
      <c r="D253" s="44">
        <v>10.0</v>
      </c>
      <c r="E253" s="45">
        <v>46308.0</v>
      </c>
      <c r="F253" s="44">
        <v>2.0</v>
      </c>
      <c r="G253" s="43" t="s">
        <v>613</v>
      </c>
      <c r="H253" s="51" t="s">
        <v>233</v>
      </c>
      <c r="I253" s="53"/>
      <c r="J253" s="47">
        <v>4500000.0</v>
      </c>
      <c r="K253" s="48" t="s">
        <v>945</v>
      </c>
    </row>
    <row r="254">
      <c r="A254" s="34" t="s">
        <v>1451</v>
      </c>
      <c r="B254" s="35" t="s">
        <v>17</v>
      </c>
      <c r="C254" s="36">
        <v>2025.0</v>
      </c>
      <c r="D254" s="36">
        <v>11.0</v>
      </c>
      <c r="E254" s="37">
        <v>46323.0</v>
      </c>
      <c r="F254" s="36">
        <v>1.0</v>
      </c>
      <c r="G254" s="35" t="s">
        <v>602</v>
      </c>
      <c r="H254" s="50" t="s">
        <v>169</v>
      </c>
      <c r="I254" s="35" t="s">
        <v>1452</v>
      </c>
      <c r="J254" s="39">
        <v>2512560.0</v>
      </c>
      <c r="K254" s="40" t="s">
        <v>945</v>
      </c>
    </row>
    <row r="255">
      <c r="A255" s="42" t="s">
        <v>1453</v>
      </c>
      <c r="B255" s="43" t="s">
        <v>17</v>
      </c>
      <c r="C255" s="44">
        <v>2025.0</v>
      </c>
      <c r="D255" s="44">
        <v>11.0</v>
      </c>
      <c r="E255" s="45">
        <v>46323.0</v>
      </c>
      <c r="F255" s="44">
        <v>1.0</v>
      </c>
      <c r="G255" s="43" t="s">
        <v>602</v>
      </c>
      <c r="H255" s="51" t="s">
        <v>176</v>
      </c>
      <c r="I255" s="43" t="s">
        <v>1454</v>
      </c>
      <c r="J255" s="47">
        <v>3559460.0</v>
      </c>
      <c r="K255" s="48" t="s">
        <v>945</v>
      </c>
    </row>
    <row r="256">
      <c r="A256" s="34" t="s">
        <v>1455</v>
      </c>
      <c r="B256" s="35" t="s">
        <v>17</v>
      </c>
      <c r="C256" s="36">
        <v>2025.0</v>
      </c>
      <c r="D256" s="36">
        <v>11.0</v>
      </c>
      <c r="E256" s="37">
        <v>46323.0</v>
      </c>
      <c r="F256" s="36">
        <v>1.0</v>
      </c>
      <c r="G256" s="35" t="s">
        <v>602</v>
      </c>
      <c r="H256" s="50" t="s">
        <v>183</v>
      </c>
      <c r="I256" s="52"/>
      <c r="J256" s="38">
        <v>700000.0</v>
      </c>
      <c r="K256" s="40" t="s">
        <v>945</v>
      </c>
    </row>
    <row r="257">
      <c r="A257" s="42" t="s">
        <v>1456</v>
      </c>
      <c r="B257" s="43" t="s">
        <v>17</v>
      </c>
      <c r="C257" s="44">
        <v>2025.0</v>
      </c>
      <c r="D257" s="44">
        <v>11.0</v>
      </c>
      <c r="E257" s="45">
        <v>46323.0</v>
      </c>
      <c r="F257" s="44">
        <v>1.0</v>
      </c>
      <c r="G257" s="43" t="s">
        <v>602</v>
      </c>
      <c r="H257" s="51" t="s">
        <v>188</v>
      </c>
      <c r="I257" s="53"/>
      <c r="J257" s="46">
        <v>200000.0</v>
      </c>
      <c r="K257" s="48" t="s">
        <v>945</v>
      </c>
    </row>
    <row r="258">
      <c r="A258" s="34" t="s">
        <v>1457</v>
      </c>
      <c r="B258" s="35" t="s">
        <v>17</v>
      </c>
      <c r="C258" s="36">
        <v>2025.0</v>
      </c>
      <c r="D258" s="36">
        <v>11.0</v>
      </c>
      <c r="E258" s="37">
        <v>46323.0</v>
      </c>
      <c r="F258" s="36">
        <v>1.0</v>
      </c>
      <c r="G258" s="35" t="s">
        <v>613</v>
      </c>
      <c r="H258" s="50" t="s">
        <v>200</v>
      </c>
      <c r="I258" s="52"/>
      <c r="J258" s="38">
        <v>220000.0</v>
      </c>
      <c r="K258" s="40" t="s">
        <v>945</v>
      </c>
    </row>
    <row r="259">
      <c r="A259" s="42" t="s">
        <v>1458</v>
      </c>
      <c r="B259" s="43" t="s">
        <v>17</v>
      </c>
      <c r="C259" s="44">
        <v>2025.0</v>
      </c>
      <c r="D259" s="44">
        <v>11.0</v>
      </c>
      <c r="E259" s="45">
        <v>46323.0</v>
      </c>
      <c r="F259" s="44">
        <v>1.0</v>
      </c>
      <c r="G259" s="43" t="s">
        <v>607</v>
      </c>
      <c r="H259" s="51" t="s">
        <v>1459</v>
      </c>
      <c r="I259" s="53"/>
      <c r="J259" s="47">
        <v>5.1744E7</v>
      </c>
      <c r="K259" s="48" t="s">
        <v>945</v>
      </c>
    </row>
    <row r="260">
      <c r="A260" s="34" t="s">
        <v>1460</v>
      </c>
      <c r="B260" s="35" t="s">
        <v>17</v>
      </c>
      <c r="C260" s="36">
        <v>2025.0</v>
      </c>
      <c r="D260" s="36">
        <v>11.0</v>
      </c>
      <c r="E260" s="37">
        <v>46323.0</v>
      </c>
      <c r="F260" s="36">
        <v>1.0</v>
      </c>
      <c r="G260" s="35" t="s">
        <v>607</v>
      </c>
      <c r="H260" s="50" t="s">
        <v>197</v>
      </c>
      <c r="I260" s="52"/>
      <c r="J260" s="39">
        <v>3300000.0</v>
      </c>
      <c r="K260" s="40" t="s">
        <v>945</v>
      </c>
    </row>
    <row r="261">
      <c r="A261" s="42" t="s">
        <v>1461</v>
      </c>
      <c r="B261" s="43" t="s">
        <v>17</v>
      </c>
      <c r="C261" s="44">
        <v>2025.0</v>
      </c>
      <c r="D261" s="44">
        <v>11.0</v>
      </c>
      <c r="E261" s="45">
        <v>46323.0</v>
      </c>
      <c r="F261" s="44">
        <v>1.0</v>
      </c>
      <c r="G261" s="43" t="s">
        <v>607</v>
      </c>
      <c r="H261" s="51" t="s">
        <v>1462</v>
      </c>
      <c r="I261" s="53"/>
      <c r="J261" s="46">
        <v>450000.0</v>
      </c>
      <c r="K261" s="48" t="s">
        <v>945</v>
      </c>
    </row>
    <row r="262">
      <c r="A262" s="34" t="s">
        <v>1463</v>
      </c>
      <c r="B262" s="35" t="s">
        <v>17</v>
      </c>
      <c r="C262" s="36">
        <v>2025.0</v>
      </c>
      <c r="D262" s="36">
        <v>11.0</v>
      </c>
      <c r="E262" s="37">
        <v>46323.0</v>
      </c>
      <c r="F262" s="36">
        <v>1.0</v>
      </c>
      <c r="G262" s="35" t="s">
        <v>613</v>
      </c>
      <c r="H262" s="50" t="s">
        <v>211</v>
      </c>
      <c r="I262" s="52"/>
      <c r="J262" s="39">
        <v>1272000.0</v>
      </c>
      <c r="K262" s="40" t="s">
        <v>945</v>
      </c>
    </row>
    <row r="263">
      <c r="A263" s="42" t="s">
        <v>1464</v>
      </c>
      <c r="B263" s="43" t="s">
        <v>17</v>
      </c>
      <c r="C263" s="44">
        <v>2025.0</v>
      </c>
      <c r="D263" s="44">
        <v>11.0</v>
      </c>
      <c r="E263" s="45">
        <v>46323.0</v>
      </c>
      <c r="F263" s="44">
        <v>1.0</v>
      </c>
      <c r="G263" s="43" t="s">
        <v>613</v>
      </c>
      <c r="H263" s="51" t="s">
        <v>1080</v>
      </c>
      <c r="I263" s="53"/>
      <c r="J263" s="46">
        <v>780000.0</v>
      </c>
      <c r="K263" s="48" t="s">
        <v>945</v>
      </c>
    </row>
    <row r="264">
      <c r="A264" s="34" t="s">
        <v>1465</v>
      </c>
      <c r="B264" s="35" t="s">
        <v>17</v>
      </c>
      <c r="C264" s="36">
        <v>2025.0</v>
      </c>
      <c r="D264" s="36">
        <v>11.0</v>
      </c>
      <c r="E264" s="37">
        <v>46323.0</v>
      </c>
      <c r="F264" s="36">
        <v>1.0</v>
      </c>
      <c r="G264" s="35" t="s">
        <v>613</v>
      </c>
      <c r="H264" s="50" t="s">
        <v>1466</v>
      </c>
      <c r="I264" s="52"/>
      <c r="J264" s="38">
        <v>700000.0</v>
      </c>
      <c r="K264" s="40" t="s">
        <v>945</v>
      </c>
    </row>
    <row r="265">
      <c r="A265" s="42" t="s">
        <v>1467</v>
      </c>
      <c r="B265" s="43" t="s">
        <v>17</v>
      </c>
      <c r="C265" s="44">
        <v>2025.0</v>
      </c>
      <c r="D265" s="44">
        <v>11.0</v>
      </c>
      <c r="E265" s="45">
        <v>46323.0</v>
      </c>
      <c r="F265" s="44">
        <v>1.0</v>
      </c>
      <c r="G265" s="43" t="s">
        <v>613</v>
      </c>
      <c r="H265" s="51" t="s">
        <v>1119</v>
      </c>
      <c r="I265" s="53"/>
      <c r="J265" s="47">
        <v>2800000.0</v>
      </c>
      <c r="K265" s="48" t="s">
        <v>945</v>
      </c>
    </row>
    <row r="266">
      <c r="A266" s="34" t="s">
        <v>1468</v>
      </c>
      <c r="B266" s="35" t="s">
        <v>17</v>
      </c>
      <c r="C266" s="36">
        <v>2025.0</v>
      </c>
      <c r="D266" s="36">
        <v>11.0</v>
      </c>
      <c r="E266" s="37">
        <v>46335.0</v>
      </c>
      <c r="F266" s="36">
        <v>2.0</v>
      </c>
      <c r="G266" s="35" t="s">
        <v>602</v>
      </c>
      <c r="H266" s="50" t="s">
        <v>169</v>
      </c>
      <c r="I266" s="35" t="s">
        <v>1469</v>
      </c>
      <c r="J266" s="39">
        <v>2791560.0</v>
      </c>
      <c r="K266" s="40" t="s">
        <v>945</v>
      </c>
    </row>
    <row r="267">
      <c r="A267" s="42" t="s">
        <v>1470</v>
      </c>
      <c r="B267" s="43" t="s">
        <v>17</v>
      </c>
      <c r="C267" s="44">
        <v>2025.0</v>
      </c>
      <c r="D267" s="44">
        <v>11.0</v>
      </c>
      <c r="E267" s="45">
        <v>46335.0</v>
      </c>
      <c r="F267" s="44">
        <v>2.0</v>
      </c>
      <c r="G267" s="43" t="s">
        <v>602</v>
      </c>
      <c r="H267" s="51" t="s">
        <v>176</v>
      </c>
      <c r="I267" s="43" t="s">
        <v>1471</v>
      </c>
      <c r="J267" s="47">
        <v>3954710.0</v>
      </c>
      <c r="K267" s="48" t="s">
        <v>945</v>
      </c>
    </row>
    <row r="268">
      <c r="A268" s="34" t="s">
        <v>1472</v>
      </c>
      <c r="B268" s="35" t="s">
        <v>17</v>
      </c>
      <c r="C268" s="36">
        <v>2025.0</v>
      </c>
      <c r="D268" s="36">
        <v>11.0</v>
      </c>
      <c r="E268" s="37">
        <v>46335.0</v>
      </c>
      <c r="F268" s="36">
        <v>2.0</v>
      </c>
      <c r="G268" s="35" t="s">
        <v>602</v>
      </c>
      <c r="H268" s="50" t="s">
        <v>183</v>
      </c>
      <c r="I268" s="52"/>
      <c r="J268" s="38">
        <v>700000.0</v>
      </c>
      <c r="K268" s="40" t="s">
        <v>945</v>
      </c>
    </row>
    <row r="269">
      <c r="A269" s="42" t="s">
        <v>1473</v>
      </c>
      <c r="B269" s="43" t="s">
        <v>17</v>
      </c>
      <c r="C269" s="44">
        <v>2025.0</v>
      </c>
      <c r="D269" s="44">
        <v>11.0</v>
      </c>
      <c r="E269" s="45">
        <v>46335.0</v>
      </c>
      <c r="F269" s="44">
        <v>2.0</v>
      </c>
      <c r="G269" s="43" t="s">
        <v>602</v>
      </c>
      <c r="H269" s="51" t="s">
        <v>188</v>
      </c>
      <c r="I269" s="53"/>
      <c r="J269" s="46">
        <v>200000.0</v>
      </c>
      <c r="K269" s="48" t="s">
        <v>945</v>
      </c>
    </row>
    <row r="270">
      <c r="A270" s="34" t="s">
        <v>1474</v>
      </c>
      <c r="B270" s="35" t="s">
        <v>17</v>
      </c>
      <c r="C270" s="36">
        <v>2025.0</v>
      </c>
      <c r="D270" s="36">
        <v>11.0</v>
      </c>
      <c r="E270" s="37">
        <v>46335.0</v>
      </c>
      <c r="F270" s="36">
        <v>2.0</v>
      </c>
      <c r="G270" s="35" t="s">
        <v>607</v>
      </c>
      <c r="H270" s="50" t="s">
        <v>1224</v>
      </c>
      <c r="I270" s="52"/>
      <c r="J270" s="39">
        <v>4.94E7</v>
      </c>
      <c r="K270" s="40" t="s">
        <v>945</v>
      </c>
    </row>
    <row r="271">
      <c r="A271" s="42" t="s">
        <v>1475</v>
      </c>
      <c r="B271" s="43" t="s">
        <v>17</v>
      </c>
      <c r="C271" s="44">
        <v>2025.0</v>
      </c>
      <c r="D271" s="44">
        <v>11.0</v>
      </c>
      <c r="E271" s="45">
        <v>46335.0</v>
      </c>
      <c r="F271" s="44">
        <v>2.0</v>
      </c>
      <c r="G271" s="43" t="s">
        <v>607</v>
      </c>
      <c r="H271" s="51" t="s">
        <v>197</v>
      </c>
      <c r="I271" s="53"/>
      <c r="J271" s="47">
        <v>3250000.0</v>
      </c>
      <c r="K271" s="48" t="s">
        <v>945</v>
      </c>
    </row>
    <row r="272">
      <c r="A272" s="34" t="s">
        <v>1476</v>
      </c>
      <c r="B272" s="35" t="s">
        <v>17</v>
      </c>
      <c r="C272" s="36">
        <v>2025.0</v>
      </c>
      <c r="D272" s="36">
        <v>11.0</v>
      </c>
      <c r="E272" s="37">
        <v>46335.0</v>
      </c>
      <c r="F272" s="36">
        <v>2.0</v>
      </c>
      <c r="G272" s="35" t="s">
        <v>602</v>
      </c>
      <c r="H272" s="50" t="s">
        <v>1477</v>
      </c>
      <c r="I272" s="52"/>
      <c r="J272" s="38">
        <v>550000.0</v>
      </c>
      <c r="K272" s="40" t="s">
        <v>945</v>
      </c>
    </row>
    <row r="273">
      <c r="A273" s="42" t="s">
        <v>1478</v>
      </c>
      <c r="B273" s="43" t="s">
        <v>17</v>
      </c>
      <c r="C273" s="44">
        <v>2025.0</v>
      </c>
      <c r="D273" s="44">
        <v>11.0</v>
      </c>
      <c r="E273" s="45">
        <v>46335.0</v>
      </c>
      <c r="F273" s="44">
        <v>2.0</v>
      </c>
      <c r="G273" s="43" t="s">
        <v>237</v>
      </c>
      <c r="H273" s="51" t="s">
        <v>1479</v>
      </c>
      <c r="I273" s="53"/>
      <c r="J273" s="47">
        <v>1.0E7</v>
      </c>
      <c r="K273" s="48" t="s">
        <v>945</v>
      </c>
    </row>
    <row r="274">
      <c r="A274" s="34" t="s">
        <v>1480</v>
      </c>
      <c r="B274" s="35" t="s">
        <v>17</v>
      </c>
      <c r="C274" s="36">
        <v>2025.0</v>
      </c>
      <c r="D274" s="36">
        <v>11.0</v>
      </c>
      <c r="E274" s="37">
        <v>46335.0</v>
      </c>
      <c r="F274" s="36">
        <v>2.0</v>
      </c>
      <c r="G274" s="35" t="s">
        <v>613</v>
      </c>
      <c r="H274" s="50" t="s">
        <v>935</v>
      </c>
      <c r="I274" s="52"/>
      <c r="J274" s="39">
        <v>5155000.0</v>
      </c>
      <c r="K274" s="40" t="s">
        <v>945</v>
      </c>
    </row>
    <row r="275">
      <c r="A275" s="42" t="s">
        <v>1481</v>
      </c>
      <c r="B275" s="43" t="s">
        <v>17</v>
      </c>
      <c r="C275" s="44">
        <v>2025.0</v>
      </c>
      <c r="D275" s="44">
        <v>11.0</v>
      </c>
      <c r="E275" s="45">
        <v>46335.0</v>
      </c>
      <c r="F275" s="44">
        <v>2.0</v>
      </c>
      <c r="G275" s="43" t="s">
        <v>613</v>
      </c>
      <c r="H275" s="51" t="s">
        <v>233</v>
      </c>
      <c r="I275" s="53"/>
      <c r="J275" s="47">
        <v>4500000.0</v>
      </c>
      <c r="K275" s="48" t="s">
        <v>945</v>
      </c>
    </row>
    <row r="276">
      <c r="A276" s="34" t="s">
        <v>1482</v>
      </c>
      <c r="B276" s="35" t="s">
        <v>17</v>
      </c>
      <c r="C276" s="36">
        <v>2025.0</v>
      </c>
      <c r="D276" s="36">
        <v>11.0</v>
      </c>
      <c r="E276" s="37">
        <v>46335.0</v>
      </c>
      <c r="F276" s="36">
        <v>2.0</v>
      </c>
      <c r="G276" s="35" t="s">
        <v>626</v>
      </c>
      <c r="H276" s="50" t="s">
        <v>248</v>
      </c>
      <c r="I276" s="52"/>
      <c r="J276" s="39">
        <v>2760000.0</v>
      </c>
      <c r="K276" s="40" t="s">
        <v>945</v>
      </c>
    </row>
    <row r="277">
      <c r="A277" s="42" t="s">
        <v>1483</v>
      </c>
      <c r="B277" s="43" t="s">
        <v>17</v>
      </c>
      <c r="C277" s="44">
        <v>2025.0</v>
      </c>
      <c r="D277" s="44">
        <v>11.0</v>
      </c>
      <c r="E277" s="45">
        <v>46335.0</v>
      </c>
      <c r="F277" s="44">
        <v>2.0</v>
      </c>
      <c r="G277" s="43" t="s">
        <v>613</v>
      </c>
      <c r="H277" s="51" t="s">
        <v>200</v>
      </c>
      <c r="I277" s="53"/>
      <c r="J277" s="46">
        <v>220000.0</v>
      </c>
      <c r="K277" s="48" t="s">
        <v>945</v>
      </c>
    </row>
    <row r="278">
      <c r="A278" s="34" t="s">
        <v>1484</v>
      </c>
      <c r="B278" s="35" t="s">
        <v>17</v>
      </c>
      <c r="C278" s="36">
        <v>2025.0</v>
      </c>
      <c r="D278" s="36">
        <v>11.0</v>
      </c>
      <c r="E278" s="37">
        <v>46335.0</v>
      </c>
      <c r="F278" s="36">
        <v>2.0</v>
      </c>
      <c r="G278" s="35" t="s">
        <v>626</v>
      </c>
      <c r="H278" s="50" t="s">
        <v>239</v>
      </c>
      <c r="I278" s="52"/>
      <c r="J278" s="39">
        <v>8650000.0</v>
      </c>
      <c r="K278" s="40" t="s">
        <v>945</v>
      </c>
    </row>
    <row r="279">
      <c r="A279" s="42" t="s">
        <v>1485</v>
      </c>
      <c r="B279" s="43" t="s">
        <v>17</v>
      </c>
      <c r="C279" s="44">
        <v>2025.0</v>
      </c>
      <c r="D279" s="44">
        <v>12.0</v>
      </c>
      <c r="E279" s="45">
        <v>46350.0</v>
      </c>
      <c r="F279" s="44">
        <v>1.0</v>
      </c>
      <c r="G279" s="43" t="s">
        <v>602</v>
      </c>
      <c r="H279" s="51" t="s">
        <v>169</v>
      </c>
      <c r="I279" s="43" t="s">
        <v>1486</v>
      </c>
      <c r="J279" s="47">
        <v>3576840.0</v>
      </c>
      <c r="K279" s="48" t="s">
        <v>945</v>
      </c>
    </row>
    <row r="280">
      <c r="A280" s="34" t="s">
        <v>1487</v>
      </c>
      <c r="B280" s="35" t="s">
        <v>17</v>
      </c>
      <c r="C280" s="36">
        <v>2025.0</v>
      </c>
      <c r="D280" s="36">
        <v>12.0</v>
      </c>
      <c r="E280" s="37">
        <v>46350.0</v>
      </c>
      <c r="F280" s="36">
        <v>1.0</v>
      </c>
      <c r="G280" s="35" t="s">
        <v>602</v>
      </c>
      <c r="H280" s="50" t="s">
        <v>176</v>
      </c>
      <c r="I280" s="35" t="s">
        <v>1488</v>
      </c>
      <c r="J280" s="39">
        <v>5067190.0</v>
      </c>
      <c r="K280" s="40" t="s">
        <v>945</v>
      </c>
    </row>
    <row r="281">
      <c r="A281" s="42" t="s">
        <v>1489</v>
      </c>
      <c r="B281" s="43" t="s">
        <v>17</v>
      </c>
      <c r="C281" s="44">
        <v>2025.0</v>
      </c>
      <c r="D281" s="44">
        <v>12.0</v>
      </c>
      <c r="E281" s="45">
        <v>46350.0</v>
      </c>
      <c r="F281" s="44">
        <v>1.0</v>
      </c>
      <c r="G281" s="43" t="s">
        <v>602</v>
      </c>
      <c r="H281" s="51" t="s">
        <v>183</v>
      </c>
      <c r="I281" s="53"/>
      <c r="J281" s="46">
        <v>700000.0</v>
      </c>
      <c r="K281" s="48" t="s">
        <v>945</v>
      </c>
    </row>
    <row r="282">
      <c r="A282" s="34" t="s">
        <v>1490</v>
      </c>
      <c r="B282" s="35" t="s">
        <v>17</v>
      </c>
      <c r="C282" s="36">
        <v>2025.0</v>
      </c>
      <c r="D282" s="36">
        <v>12.0</v>
      </c>
      <c r="E282" s="37">
        <v>46350.0</v>
      </c>
      <c r="F282" s="36">
        <v>1.0</v>
      </c>
      <c r="G282" s="35" t="s">
        <v>602</v>
      </c>
      <c r="H282" s="50" t="s">
        <v>188</v>
      </c>
      <c r="I282" s="52"/>
      <c r="J282" s="38">
        <v>300000.0</v>
      </c>
      <c r="K282" s="40" t="s">
        <v>945</v>
      </c>
    </row>
    <row r="283">
      <c r="A283" s="42" t="s">
        <v>1491</v>
      </c>
      <c r="B283" s="43" t="s">
        <v>17</v>
      </c>
      <c r="C283" s="44">
        <v>2025.0</v>
      </c>
      <c r="D283" s="44">
        <v>12.0</v>
      </c>
      <c r="E283" s="45">
        <v>46350.0</v>
      </c>
      <c r="F283" s="44">
        <v>1.0</v>
      </c>
      <c r="G283" s="43" t="s">
        <v>613</v>
      </c>
      <c r="H283" s="51" t="s">
        <v>200</v>
      </c>
      <c r="I283" s="53"/>
      <c r="J283" s="46">
        <v>220000.0</v>
      </c>
      <c r="K283" s="48" t="s">
        <v>945</v>
      </c>
    </row>
    <row r="284">
      <c r="A284" s="34" t="s">
        <v>1492</v>
      </c>
      <c r="B284" s="35" t="s">
        <v>17</v>
      </c>
      <c r="C284" s="36">
        <v>2025.0</v>
      </c>
      <c r="D284" s="36">
        <v>12.0</v>
      </c>
      <c r="E284" s="37">
        <v>46350.0</v>
      </c>
      <c r="F284" s="36">
        <v>1.0</v>
      </c>
      <c r="G284" s="35" t="s">
        <v>613</v>
      </c>
      <c r="H284" s="50" t="s">
        <v>235</v>
      </c>
      <c r="I284" s="52"/>
      <c r="J284" s="38">
        <v>300000.0</v>
      </c>
      <c r="K284" s="40" t="s">
        <v>945</v>
      </c>
    </row>
    <row r="285">
      <c r="A285" s="42" t="s">
        <v>1493</v>
      </c>
      <c r="B285" s="43" t="s">
        <v>17</v>
      </c>
      <c r="C285" s="44">
        <v>2025.0</v>
      </c>
      <c r="D285" s="44">
        <v>12.0</v>
      </c>
      <c r="E285" s="45">
        <v>46350.0</v>
      </c>
      <c r="F285" s="44">
        <v>1.0</v>
      </c>
      <c r="G285" s="43" t="s">
        <v>237</v>
      </c>
      <c r="H285" s="51" t="s">
        <v>237</v>
      </c>
      <c r="I285" s="43" t="s">
        <v>1494</v>
      </c>
      <c r="J285" s="47">
        <v>1.1E7</v>
      </c>
      <c r="K285" s="48" t="s">
        <v>945</v>
      </c>
    </row>
    <row r="286">
      <c r="A286" s="34" t="s">
        <v>1495</v>
      </c>
      <c r="B286" s="35" t="s">
        <v>17</v>
      </c>
      <c r="C286" s="36">
        <v>2025.0</v>
      </c>
      <c r="D286" s="36">
        <v>12.0</v>
      </c>
      <c r="E286" s="37">
        <v>46350.0</v>
      </c>
      <c r="F286" s="36">
        <v>1.0</v>
      </c>
      <c r="G286" s="35" t="s">
        <v>613</v>
      </c>
      <c r="H286" s="50" t="s">
        <v>1496</v>
      </c>
      <c r="I286" s="52"/>
      <c r="J286" s="39">
        <v>1236000.0</v>
      </c>
      <c r="K286" s="40" t="s">
        <v>945</v>
      </c>
    </row>
    <row r="287">
      <c r="A287" s="42" t="s">
        <v>1497</v>
      </c>
      <c r="B287" s="43" t="s">
        <v>17</v>
      </c>
      <c r="C287" s="44">
        <v>2025.0</v>
      </c>
      <c r="D287" s="44">
        <v>12.0</v>
      </c>
      <c r="E287" s="45">
        <v>46350.0</v>
      </c>
      <c r="F287" s="44">
        <v>1.0</v>
      </c>
      <c r="G287" s="43" t="s">
        <v>613</v>
      </c>
      <c r="H287" s="51" t="s">
        <v>1080</v>
      </c>
      <c r="I287" s="53"/>
      <c r="J287" s="46">
        <v>780000.0</v>
      </c>
      <c r="K287" s="48" t="s">
        <v>945</v>
      </c>
    </row>
    <row r="288">
      <c r="A288" s="34" t="s">
        <v>1498</v>
      </c>
      <c r="B288" s="35" t="s">
        <v>17</v>
      </c>
      <c r="C288" s="36">
        <v>2025.0</v>
      </c>
      <c r="D288" s="36">
        <v>12.0</v>
      </c>
      <c r="E288" s="37">
        <v>46350.0</v>
      </c>
      <c r="F288" s="36">
        <v>1.0</v>
      </c>
      <c r="G288" s="35" t="s">
        <v>613</v>
      </c>
      <c r="H288" s="50" t="s">
        <v>1499</v>
      </c>
      <c r="I288" s="52"/>
      <c r="J288" s="39">
        <v>3500000.0</v>
      </c>
      <c r="K288" s="40" t="s">
        <v>945</v>
      </c>
    </row>
    <row r="289">
      <c r="A289" s="42" t="s">
        <v>1500</v>
      </c>
      <c r="B289" s="43" t="s">
        <v>17</v>
      </c>
      <c r="C289" s="44">
        <v>2025.0</v>
      </c>
      <c r="D289" s="44">
        <v>12.0</v>
      </c>
      <c r="E289" s="45">
        <v>46375.0</v>
      </c>
      <c r="F289" s="44">
        <v>2.0</v>
      </c>
      <c r="G289" s="43" t="s">
        <v>602</v>
      </c>
      <c r="H289" s="51" t="s">
        <v>169</v>
      </c>
      <c r="I289" s="43" t="s">
        <v>1501</v>
      </c>
      <c r="J289" s="47">
        <v>3049080.0</v>
      </c>
      <c r="K289" s="48" t="s">
        <v>945</v>
      </c>
    </row>
    <row r="290">
      <c r="A290" s="34" t="s">
        <v>1502</v>
      </c>
      <c r="B290" s="35" t="s">
        <v>17</v>
      </c>
      <c r="C290" s="36">
        <v>2025.0</v>
      </c>
      <c r="D290" s="36">
        <v>12.0</v>
      </c>
      <c r="E290" s="37">
        <v>46375.0</v>
      </c>
      <c r="F290" s="36">
        <v>2.0</v>
      </c>
      <c r="G290" s="35" t="s">
        <v>602</v>
      </c>
      <c r="H290" s="50" t="s">
        <v>176</v>
      </c>
      <c r="I290" s="35" t="s">
        <v>1503</v>
      </c>
      <c r="J290" s="39">
        <v>4319530.0</v>
      </c>
      <c r="K290" s="40" t="s">
        <v>945</v>
      </c>
    </row>
    <row r="291">
      <c r="A291" s="42" t="s">
        <v>1504</v>
      </c>
      <c r="B291" s="43" t="s">
        <v>17</v>
      </c>
      <c r="C291" s="44">
        <v>2025.0</v>
      </c>
      <c r="D291" s="44">
        <v>12.0</v>
      </c>
      <c r="E291" s="45">
        <v>46375.0</v>
      </c>
      <c r="F291" s="44">
        <v>2.0</v>
      </c>
      <c r="G291" s="43" t="s">
        <v>602</v>
      </c>
      <c r="H291" s="51" t="s">
        <v>183</v>
      </c>
      <c r="I291" s="53"/>
      <c r="J291" s="46">
        <v>700000.0</v>
      </c>
      <c r="K291" s="48" t="s">
        <v>945</v>
      </c>
    </row>
    <row r="292">
      <c r="A292" s="34" t="s">
        <v>1505</v>
      </c>
      <c r="B292" s="35" t="s">
        <v>17</v>
      </c>
      <c r="C292" s="36">
        <v>2025.0</v>
      </c>
      <c r="D292" s="36">
        <v>12.0</v>
      </c>
      <c r="E292" s="37">
        <v>46375.0</v>
      </c>
      <c r="F292" s="36">
        <v>2.0</v>
      </c>
      <c r="G292" s="35" t="s">
        <v>602</v>
      </c>
      <c r="H292" s="50" t="s">
        <v>188</v>
      </c>
      <c r="I292" s="52"/>
      <c r="J292" s="38">
        <v>250000.0</v>
      </c>
      <c r="K292" s="40" t="s">
        <v>945</v>
      </c>
    </row>
    <row r="293">
      <c r="A293" s="42" t="s">
        <v>1506</v>
      </c>
      <c r="B293" s="43" t="s">
        <v>17</v>
      </c>
      <c r="C293" s="44">
        <v>2025.0</v>
      </c>
      <c r="D293" s="44">
        <v>12.0</v>
      </c>
      <c r="E293" s="45">
        <v>46375.0</v>
      </c>
      <c r="F293" s="44">
        <v>2.0</v>
      </c>
      <c r="G293" s="43" t="s">
        <v>613</v>
      </c>
      <c r="H293" s="51" t="s">
        <v>235</v>
      </c>
      <c r="I293" s="53"/>
      <c r="J293" s="46">
        <v>900000.0</v>
      </c>
      <c r="K293" s="48" t="s">
        <v>945</v>
      </c>
    </row>
    <row r="294">
      <c r="A294" s="34" t="s">
        <v>1507</v>
      </c>
      <c r="B294" s="35" t="s">
        <v>17</v>
      </c>
      <c r="C294" s="36">
        <v>2025.0</v>
      </c>
      <c r="D294" s="36">
        <v>12.0</v>
      </c>
      <c r="E294" s="37">
        <v>46375.0</v>
      </c>
      <c r="F294" s="36">
        <v>2.0</v>
      </c>
      <c r="G294" s="35" t="s">
        <v>613</v>
      </c>
      <c r="H294" s="50" t="s">
        <v>210</v>
      </c>
      <c r="I294" s="52"/>
      <c r="J294" s="38">
        <v>420000.0</v>
      </c>
      <c r="K294" s="40" t="s">
        <v>945</v>
      </c>
    </row>
    <row r="295">
      <c r="A295" s="42" t="s">
        <v>1508</v>
      </c>
      <c r="B295" s="43" t="s">
        <v>17</v>
      </c>
      <c r="C295" s="44">
        <v>2025.0</v>
      </c>
      <c r="D295" s="44">
        <v>12.0</v>
      </c>
      <c r="E295" s="45">
        <v>46375.0</v>
      </c>
      <c r="F295" s="44">
        <v>2.0</v>
      </c>
      <c r="G295" s="43" t="s">
        <v>613</v>
      </c>
      <c r="H295" s="51" t="s">
        <v>1509</v>
      </c>
      <c r="I295" s="53"/>
      <c r="J295" s="47">
        <v>4500000.0</v>
      </c>
      <c r="K295" s="48" t="s">
        <v>945</v>
      </c>
    </row>
    <row r="296">
      <c r="A296" s="34" t="s">
        <v>1510</v>
      </c>
      <c r="B296" s="35" t="s">
        <v>17</v>
      </c>
      <c r="C296" s="36">
        <v>2025.0</v>
      </c>
      <c r="D296" s="36">
        <v>12.0</v>
      </c>
      <c r="E296" s="37">
        <v>46375.0</v>
      </c>
      <c r="F296" s="36">
        <v>2.0</v>
      </c>
      <c r="G296" s="35" t="s">
        <v>237</v>
      </c>
      <c r="H296" s="50" t="s">
        <v>237</v>
      </c>
      <c r="I296" s="52"/>
      <c r="J296" s="39">
        <v>1.85E7</v>
      </c>
      <c r="K296" s="40" t="s">
        <v>945</v>
      </c>
    </row>
    <row r="297">
      <c r="A297" s="42" t="s">
        <v>1511</v>
      </c>
      <c r="B297" s="43" t="s">
        <v>17</v>
      </c>
      <c r="C297" s="44">
        <v>2025.0</v>
      </c>
      <c r="D297" s="44">
        <v>12.0</v>
      </c>
      <c r="E297" s="45">
        <v>46375.0</v>
      </c>
      <c r="F297" s="44">
        <v>2.0</v>
      </c>
      <c r="G297" s="43" t="s">
        <v>626</v>
      </c>
      <c r="H297" s="51" t="s">
        <v>248</v>
      </c>
      <c r="I297" s="53"/>
      <c r="J297" s="47">
        <v>1365000.0</v>
      </c>
      <c r="K297" s="48" t="s">
        <v>945</v>
      </c>
    </row>
    <row r="298">
      <c r="A298" s="34" t="s">
        <v>1512</v>
      </c>
      <c r="B298" s="35" t="s">
        <v>17</v>
      </c>
      <c r="C298" s="36">
        <v>2025.0</v>
      </c>
      <c r="D298" s="36">
        <v>12.0</v>
      </c>
      <c r="E298" s="37">
        <v>46375.0</v>
      </c>
      <c r="F298" s="36">
        <v>2.0</v>
      </c>
      <c r="G298" s="35" t="s">
        <v>613</v>
      </c>
      <c r="H298" s="50" t="s">
        <v>1513</v>
      </c>
      <c r="I298" s="52"/>
      <c r="J298" s="38">
        <v>100000.0</v>
      </c>
      <c r="K298" s="40" t="s">
        <v>945</v>
      </c>
    </row>
    <row r="299">
      <c r="A299" s="42" t="s">
        <v>1514</v>
      </c>
      <c r="B299" s="43" t="s">
        <v>17</v>
      </c>
      <c r="C299" s="44">
        <v>2025.0</v>
      </c>
      <c r="D299" s="44">
        <v>12.0</v>
      </c>
      <c r="E299" s="45">
        <v>46375.0</v>
      </c>
      <c r="F299" s="44">
        <v>2.0</v>
      </c>
      <c r="G299" s="43" t="s">
        <v>626</v>
      </c>
      <c r="H299" s="51" t="s">
        <v>239</v>
      </c>
      <c r="I299" s="53"/>
      <c r="J299" s="47">
        <v>8250000.0</v>
      </c>
      <c r="K299" s="48" t="s">
        <v>945</v>
      </c>
    </row>
    <row r="300">
      <c r="A300" s="34" t="s">
        <v>1515</v>
      </c>
      <c r="B300" s="35" t="s">
        <v>17</v>
      </c>
      <c r="C300" s="36">
        <v>2025.0</v>
      </c>
      <c r="D300" s="36">
        <v>12.0</v>
      </c>
      <c r="E300" s="37">
        <v>46375.0</v>
      </c>
      <c r="F300" s="36">
        <v>2.0</v>
      </c>
      <c r="G300" s="35" t="s">
        <v>626</v>
      </c>
      <c r="H300" s="50" t="s">
        <v>239</v>
      </c>
      <c r="I300" s="35" t="s">
        <v>247</v>
      </c>
      <c r="J300" s="38">
        <v>400000.0</v>
      </c>
      <c r="K300" s="40" t="s">
        <v>945</v>
      </c>
    </row>
    <row r="301">
      <c r="A301" s="42" t="s">
        <v>1516</v>
      </c>
      <c r="B301" s="43" t="s">
        <v>17</v>
      </c>
      <c r="C301" s="44">
        <v>2025.0</v>
      </c>
      <c r="D301" s="44">
        <v>12.0</v>
      </c>
      <c r="E301" s="45">
        <v>46375.0</v>
      </c>
      <c r="F301" s="44">
        <v>2.0</v>
      </c>
      <c r="G301" s="43" t="s">
        <v>613</v>
      </c>
      <c r="H301" s="51" t="s">
        <v>1517</v>
      </c>
      <c r="I301" s="53"/>
      <c r="J301" s="46">
        <v>208000.0</v>
      </c>
      <c r="K301" s="48" t="s">
        <v>945</v>
      </c>
    </row>
    <row r="302">
      <c r="A302" s="34" t="s">
        <v>1518</v>
      </c>
      <c r="B302" s="35" t="s">
        <v>17</v>
      </c>
      <c r="C302" s="36">
        <v>2025.0</v>
      </c>
      <c r="D302" s="36">
        <v>12.0</v>
      </c>
      <c r="E302" s="37">
        <v>46375.0</v>
      </c>
      <c r="F302" s="36">
        <v>2.0</v>
      </c>
      <c r="G302" s="35" t="s">
        <v>613</v>
      </c>
      <c r="H302" s="50" t="s">
        <v>1519</v>
      </c>
      <c r="I302" s="52"/>
      <c r="J302" s="39">
        <v>3400000.0</v>
      </c>
      <c r="K302" s="40" t="s">
        <v>945</v>
      </c>
    </row>
  </sheetData>
  <autoFilter ref="$A$1:$K$3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9E0B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22.75"/>
    <col customWidth="1" min="2" max="2" width="8.5"/>
    <col customWidth="1" min="3" max="3" width="11.88"/>
    <col customWidth="1" min="4" max="4" width="12.38"/>
    <col customWidth="1" min="5" max="5" width="12.25"/>
    <col customWidth="1" min="6" max="6" width="12.13"/>
    <col customWidth="1" min="7" max="7" width="11.75"/>
    <col customWidth="1" min="8" max="8" width="7.75"/>
    <col customWidth="1" min="9" max="10" width="8.88"/>
    <col customWidth="1" min="11" max="11" width="11.25"/>
    <col customWidth="1" min="12" max="12" width="38.0"/>
    <col customWidth="1" min="13" max="13" width="12.25"/>
    <col customWidth="1" hidden="1" min="14" max="14" width="19.0"/>
  </cols>
  <sheetData>
    <row r="1">
      <c r="A1" s="31" t="s">
        <v>0</v>
      </c>
      <c r="B1" s="32" t="s">
        <v>3</v>
      </c>
      <c r="C1" s="32" t="s">
        <v>4</v>
      </c>
      <c r="D1" s="32" t="s">
        <v>5</v>
      </c>
      <c r="E1" s="32" t="s">
        <v>6</v>
      </c>
      <c r="F1" s="32" t="s">
        <v>888</v>
      </c>
      <c r="G1" s="32" t="s">
        <v>1750</v>
      </c>
      <c r="H1" s="32" t="s">
        <v>889</v>
      </c>
      <c r="I1" s="32" t="s">
        <v>891</v>
      </c>
      <c r="J1" s="32" t="s">
        <v>9</v>
      </c>
      <c r="K1" s="32" t="s">
        <v>892</v>
      </c>
      <c r="L1" s="32" t="s">
        <v>10</v>
      </c>
      <c r="M1" s="32" t="s">
        <v>890</v>
      </c>
      <c r="N1" s="33" t="s">
        <v>12</v>
      </c>
    </row>
    <row r="2">
      <c r="A2" s="34" t="s">
        <v>1751</v>
      </c>
      <c r="B2" s="35" t="s">
        <v>17</v>
      </c>
      <c r="C2" s="36">
        <v>2025.0</v>
      </c>
      <c r="D2" s="36">
        <v>2.0</v>
      </c>
      <c r="E2" s="49"/>
      <c r="F2" s="35" t="s">
        <v>894</v>
      </c>
      <c r="G2" s="35" t="s">
        <v>894</v>
      </c>
      <c r="H2" s="55">
        <v>1.5</v>
      </c>
      <c r="I2" s="35" t="s">
        <v>912</v>
      </c>
      <c r="J2" s="38">
        <v>135.0</v>
      </c>
      <c r="K2" s="35" t="s">
        <v>900</v>
      </c>
      <c r="L2" s="35" t="s">
        <v>1752</v>
      </c>
      <c r="M2" s="35" t="s">
        <v>895</v>
      </c>
      <c r="N2" s="40" t="s">
        <v>1753</v>
      </c>
    </row>
    <row r="3">
      <c r="A3" s="42" t="s">
        <v>1754</v>
      </c>
      <c r="B3" s="43" t="s">
        <v>17</v>
      </c>
      <c r="C3" s="44">
        <v>2025.0</v>
      </c>
      <c r="D3" s="44">
        <v>3.0</v>
      </c>
      <c r="E3" s="54"/>
      <c r="F3" s="43" t="s">
        <v>902</v>
      </c>
      <c r="G3" s="43" t="s">
        <v>902</v>
      </c>
      <c r="H3" s="56">
        <v>1.5</v>
      </c>
      <c r="I3" s="43" t="s">
        <v>912</v>
      </c>
      <c r="J3" s="46">
        <v>135.0</v>
      </c>
      <c r="K3" s="43" t="s">
        <v>900</v>
      </c>
      <c r="L3" s="43" t="s">
        <v>1755</v>
      </c>
      <c r="M3" s="43" t="s">
        <v>895</v>
      </c>
      <c r="N3" s="48" t="s">
        <v>1753</v>
      </c>
    </row>
    <row r="4">
      <c r="A4" s="34" t="s">
        <v>1756</v>
      </c>
      <c r="B4" s="35" t="s">
        <v>17</v>
      </c>
      <c r="C4" s="36">
        <v>2025.0</v>
      </c>
      <c r="D4" s="36">
        <v>4.0</v>
      </c>
      <c r="E4" s="49"/>
      <c r="F4" s="35" t="s">
        <v>485</v>
      </c>
      <c r="G4" s="35" t="s">
        <v>485</v>
      </c>
      <c r="H4" s="55">
        <v>1.5</v>
      </c>
      <c r="I4" s="35" t="s">
        <v>912</v>
      </c>
      <c r="J4" s="38">
        <v>95.0</v>
      </c>
      <c r="K4" s="35" t="s">
        <v>900</v>
      </c>
      <c r="L4" s="35" t="s">
        <v>1757</v>
      </c>
      <c r="M4" s="35" t="s">
        <v>895</v>
      </c>
      <c r="N4" s="40" t="s">
        <v>1753</v>
      </c>
    </row>
    <row r="5">
      <c r="A5" s="42" t="s">
        <v>1758</v>
      </c>
      <c r="B5" s="43" t="s">
        <v>17</v>
      </c>
      <c r="C5" s="44">
        <v>2025.0</v>
      </c>
      <c r="D5" s="44">
        <v>5.0</v>
      </c>
      <c r="E5" s="54"/>
      <c r="F5" s="43" t="s">
        <v>1759</v>
      </c>
      <c r="G5" s="43" t="s">
        <v>1759</v>
      </c>
      <c r="H5" s="56">
        <v>1.5</v>
      </c>
      <c r="I5" s="43" t="s">
        <v>912</v>
      </c>
      <c r="J5" s="46">
        <v>95.0</v>
      </c>
      <c r="K5" s="43" t="s">
        <v>900</v>
      </c>
      <c r="L5" s="43" t="s">
        <v>1760</v>
      </c>
      <c r="M5" s="43" t="s">
        <v>895</v>
      </c>
      <c r="N5" s="48" t="s">
        <v>1753</v>
      </c>
    </row>
    <row r="6">
      <c r="A6" s="34" t="s">
        <v>1761</v>
      </c>
      <c r="B6" s="35" t="s">
        <v>17</v>
      </c>
      <c r="C6" s="36">
        <v>2025.0</v>
      </c>
      <c r="D6" s="36">
        <v>6.0</v>
      </c>
      <c r="E6" s="49"/>
      <c r="F6" s="35" t="s">
        <v>1762</v>
      </c>
      <c r="G6" s="35" t="s">
        <v>1762</v>
      </c>
      <c r="H6" s="55">
        <v>1.0</v>
      </c>
      <c r="I6" s="35" t="s">
        <v>912</v>
      </c>
      <c r="J6" s="38">
        <v>19.0</v>
      </c>
      <c r="K6" s="35" t="s">
        <v>900</v>
      </c>
      <c r="L6" s="35" t="s">
        <v>1763</v>
      </c>
      <c r="M6" s="35" t="s">
        <v>895</v>
      </c>
      <c r="N6" s="40" t="s">
        <v>1753</v>
      </c>
    </row>
    <row r="7">
      <c r="A7" s="42" t="s">
        <v>1764</v>
      </c>
      <c r="B7" s="43" t="s">
        <v>17</v>
      </c>
      <c r="C7" s="44">
        <v>2025.0</v>
      </c>
      <c r="D7" s="44">
        <v>8.0</v>
      </c>
      <c r="E7" s="54"/>
      <c r="F7" s="43" t="s">
        <v>894</v>
      </c>
      <c r="G7" s="43" t="s">
        <v>894</v>
      </c>
      <c r="H7" s="56">
        <v>1.25</v>
      </c>
      <c r="I7" s="43" t="s">
        <v>912</v>
      </c>
      <c r="J7" s="46">
        <v>122.0</v>
      </c>
      <c r="K7" s="43" t="s">
        <v>900</v>
      </c>
      <c r="L7" s="43" t="s">
        <v>1765</v>
      </c>
      <c r="M7" s="43" t="s">
        <v>895</v>
      </c>
      <c r="N7" s="48" t="s">
        <v>1753</v>
      </c>
    </row>
    <row r="8">
      <c r="A8" s="34" t="s">
        <v>1766</v>
      </c>
      <c r="B8" s="35" t="s">
        <v>17</v>
      </c>
      <c r="C8" s="36">
        <v>2025.0</v>
      </c>
      <c r="D8" s="36">
        <v>9.0</v>
      </c>
      <c r="E8" s="49"/>
      <c r="F8" s="35" t="s">
        <v>902</v>
      </c>
      <c r="G8" s="35" t="s">
        <v>902</v>
      </c>
      <c r="H8" s="55">
        <v>1.25</v>
      </c>
      <c r="I8" s="35" t="s">
        <v>912</v>
      </c>
      <c r="J8" s="38">
        <v>127.0</v>
      </c>
      <c r="K8" s="35" t="s">
        <v>900</v>
      </c>
      <c r="L8" s="35" t="s">
        <v>1767</v>
      </c>
      <c r="M8" s="35" t="s">
        <v>895</v>
      </c>
      <c r="N8" s="40" t="s">
        <v>1753</v>
      </c>
    </row>
    <row r="9">
      <c r="A9" s="42" t="s">
        <v>1768</v>
      </c>
      <c r="B9" s="43" t="s">
        <v>17</v>
      </c>
      <c r="C9" s="44">
        <v>2025.0</v>
      </c>
      <c r="D9" s="44">
        <v>10.0</v>
      </c>
      <c r="E9" s="54"/>
      <c r="F9" s="43" t="s">
        <v>485</v>
      </c>
      <c r="G9" s="43" t="s">
        <v>485</v>
      </c>
      <c r="H9" s="56">
        <v>1.25</v>
      </c>
      <c r="I9" s="43" t="s">
        <v>912</v>
      </c>
      <c r="J9" s="46">
        <v>130.0</v>
      </c>
      <c r="K9" s="43" t="s">
        <v>900</v>
      </c>
      <c r="L9" s="43" t="s">
        <v>1769</v>
      </c>
      <c r="M9" s="43" t="s">
        <v>895</v>
      </c>
      <c r="N9" s="48" t="s">
        <v>1753</v>
      </c>
    </row>
    <row r="10">
      <c r="A10" s="34" t="s">
        <v>1770</v>
      </c>
      <c r="B10" s="35" t="s">
        <v>17</v>
      </c>
      <c r="C10" s="36">
        <v>2025.0</v>
      </c>
      <c r="D10" s="36">
        <v>11.0</v>
      </c>
      <c r="E10" s="49"/>
      <c r="F10" s="35" t="s">
        <v>1759</v>
      </c>
      <c r="G10" s="35" t="s">
        <v>1759</v>
      </c>
      <c r="H10" s="55">
        <v>1.25</v>
      </c>
      <c r="I10" s="35" t="s">
        <v>912</v>
      </c>
      <c r="J10" s="38">
        <v>130.0</v>
      </c>
      <c r="K10" s="35" t="s">
        <v>900</v>
      </c>
      <c r="L10" s="35" t="s">
        <v>1771</v>
      </c>
      <c r="M10" s="35" t="s">
        <v>895</v>
      </c>
      <c r="N10" s="40" t="s">
        <v>1753</v>
      </c>
    </row>
    <row r="11">
      <c r="A11" s="42" t="s">
        <v>1772</v>
      </c>
      <c r="B11" s="43" t="s">
        <v>17</v>
      </c>
      <c r="C11" s="44">
        <v>2025.0</v>
      </c>
      <c r="D11" s="44">
        <v>12.0</v>
      </c>
      <c r="E11" s="54"/>
      <c r="F11" s="43" t="s">
        <v>1773</v>
      </c>
      <c r="G11" s="43" t="s">
        <v>1773</v>
      </c>
      <c r="H11" s="56">
        <v>0.13</v>
      </c>
      <c r="I11" s="43" t="s">
        <v>912</v>
      </c>
      <c r="J11" s="46">
        <v>20.0</v>
      </c>
      <c r="K11" s="43" t="s">
        <v>900</v>
      </c>
      <c r="L11" s="43" t="s">
        <v>1774</v>
      </c>
      <c r="M11" s="43" t="s">
        <v>895</v>
      </c>
      <c r="N11" s="48" t="s">
        <v>1753</v>
      </c>
    </row>
  </sheetData>
  <autoFilter ref="$A$1:$N$11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9E0B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24.38"/>
    <col customWidth="1" min="2" max="2" width="8.5"/>
    <col customWidth="1" min="3" max="3" width="11.88"/>
    <col customWidth="1" min="4" max="4" width="12.38"/>
    <col customWidth="1" min="5" max="5" width="12.25"/>
    <col customWidth="1" min="6" max="6" width="11.13"/>
    <col customWidth="1" min="7" max="7" width="14.63"/>
    <col customWidth="1" min="8" max="8" width="14.38"/>
    <col customWidth="1" min="9" max="9" width="9.88"/>
    <col customWidth="1" min="10" max="10" width="12.63"/>
    <col customWidth="1" min="11" max="11" width="12.13"/>
    <col customWidth="1" hidden="1" min="12" max="12" width="19.75"/>
  </cols>
  <sheetData>
    <row r="1">
      <c r="A1" s="31" t="s">
        <v>0</v>
      </c>
      <c r="B1" s="32" t="s">
        <v>3</v>
      </c>
      <c r="C1" s="32" t="s">
        <v>4</v>
      </c>
      <c r="D1" s="32" t="s">
        <v>5</v>
      </c>
      <c r="E1" s="32" t="s">
        <v>6</v>
      </c>
      <c r="F1" s="32" t="s">
        <v>13</v>
      </c>
      <c r="G1" s="32" t="s">
        <v>804</v>
      </c>
      <c r="H1" s="32" t="s">
        <v>10</v>
      </c>
      <c r="I1" s="32" t="s">
        <v>9</v>
      </c>
      <c r="J1" s="32" t="s">
        <v>805</v>
      </c>
      <c r="K1" s="32" t="s">
        <v>806</v>
      </c>
      <c r="L1" s="33" t="s">
        <v>12</v>
      </c>
    </row>
    <row r="2">
      <c r="A2" s="34" t="s">
        <v>1712</v>
      </c>
      <c r="B2" s="35" t="s">
        <v>17</v>
      </c>
      <c r="C2" s="36">
        <v>2025.0</v>
      </c>
      <c r="D2" s="36">
        <v>3.0</v>
      </c>
      <c r="E2" s="37">
        <v>46099.0</v>
      </c>
      <c r="F2" s="36">
        <v>2.0</v>
      </c>
      <c r="G2" s="35" t="s">
        <v>205</v>
      </c>
      <c r="H2" s="35" t="s">
        <v>205</v>
      </c>
      <c r="I2" s="39">
        <v>2.5E7</v>
      </c>
      <c r="J2" s="35"/>
      <c r="K2" s="57"/>
      <c r="L2" s="40" t="s">
        <v>945</v>
      </c>
      <c r="M2" s="12"/>
      <c r="O2" s="41"/>
      <c r="P2" s="41"/>
      <c r="Q2" s="41"/>
    </row>
    <row r="3">
      <c r="A3" s="42" t="s">
        <v>1713</v>
      </c>
      <c r="B3" s="43" t="s">
        <v>17</v>
      </c>
      <c r="C3" s="44">
        <v>2025.0</v>
      </c>
      <c r="D3" s="44">
        <v>5.0</v>
      </c>
      <c r="E3" s="45">
        <v>46134.0</v>
      </c>
      <c r="F3" s="44">
        <v>1.0</v>
      </c>
      <c r="G3" s="43" t="s">
        <v>808</v>
      </c>
      <c r="H3" s="43" t="s">
        <v>172</v>
      </c>
      <c r="I3" s="47">
        <v>2.1E7</v>
      </c>
      <c r="J3" s="43"/>
      <c r="K3" s="58"/>
      <c r="L3" s="48" t="s">
        <v>945</v>
      </c>
      <c r="M3" s="12"/>
      <c r="O3" s="41"/>
      <c r="P3" s="41"/>
      <c r="Q3" s="41"/>
    </row>
    <row r="4">
      <c r="A4" s="34" t="s">
        <v>1714</v>
      </c>
      <c r="B4" s="35" t="s">
        <v>17</v>
      </c>
      <c r="C4" s="36">
        <v>2025.0</v>
      </c>
      <c r="D4" s="36">
        <v>5.0</v>
      </c>
      <c r="E4" s="37">
        <v>46134.0</v>
      </c>
      <c r="F4" s="36">
        <v>1.0</v>
      </c>
      <c r="G4" s="35" t="s">
        <v>205</v>
      </c>
      <c r="H4" s="35" t="s">
        <v>205</v>
      </c>
      <c r="I4" s="39">
        <v>2.9E7</v>
      </c>
      <c r="J4" s="35"/>
      <c r="K4" s="57"/>
      <c r="L4" s="40" t="s">
        <v>945</v>
      </c>
      <c r="M4" s="14"/>
      <c r="O4" s="41"/>
      <c r="P4" s="41"/>
      <c r="Q4" s="41"/>
    </row>
    <row r="5">
      <c r="A5" s="42" t="s">
        <v>1715</v>
      </c>
      <c r="B5" s="43" t="s">
        <v>17</v>
      </c>
      <c r="C5" s="44">
        <v>2025.0</v>
      </c>
      <c r="D5" s="44">
        <v>5.0</v>
      </c>
      <c r="E5" s="45">
        <v>46148.0</v>
      </c>
      <c r="F5" s="44">
        <v>2.0</v>
      </c>
      <c r="G5" s="43" t="s">
        <v>808</v>
      </c>
      <c r="H5" s="43" t="s">
        <v>172</v>
      </c>
      <c r="I5" s="47">
        <v>5282480.0</v>
      </c>
      <c r="J5" s="43"/>
      <c r="K5" s="58"/>
      <c r="L5" s="48" t="s">
        <v>945</v>
      </c>
      <c r="M5" s="14"/>
      <c r="O5" s="41"/>
      <c r="P5" s="41"/>
      <c r="Q5" s="41"/>
    </row>
    <row r="6">
      <c r="A6" s="34" t="s">
        <v>1716</v>
      </c>
      <c r="B6" s="35" t="s">
        <v>17</v>
      </c>
      <c r="C6" s="36">
        <v>2025.0</v>
      </c>
      <c r="D6" s="36">
        <v>5.0</v>
      </c>
      <c r="E6" s="37">
        <v>46148.0</v>
      </c>
      <c r="F6" s="36">
        <v>2.0</v>
      </c>
      <c r="G6" s="35" t="s">
        <v>816</v>
      </c>
      <c r="H6" s="35" t="s">
        <v>195</v>
      </c>
      <c r="I6" s="39">
        <v>1897080.0</v>
      </c>
      <c r="J6" s="35"/>
      <c r="K6" s="57"/>
      <c r="L6" s="40" t="s">
        <v>945</v>
      </c>
      <c r="M6" s="14"/>
      <c r="O6" s="41"/>
      <c r="P6" s="41"/>
      <c r="Q6" s="41"/>
    </row>
    <row r="7">
      <c r="A7" s="42" t="s">
        <v>1717</v>
      </c>
      <c r="B7" s="43" t="s">
        <v>17</v>
      </c>
      <c r="C7" s="44">
        <v>2025.0</v>
      </c>
      <c r="D7" s="44">
        <v>6.0</v>
      </c>
      <c r="E7" s="45">
        <v>46187.0</v>
      </c>
      <c r="F7" s="44">
        <v>1.0</v>
      </c>
      <c r="G7" s="43" t="s">
        <v>166</v>
      </c>
      <c r="H7" s="43" t="s">
        <v>166</v>
      </c>
      <c r="I7" s="47">
        <v>7300000.0</v>
      </c>
      <c r="J7" s="43"/>
      <c r="K7" s="58"/>
      <c r="L7" s="48" t="s">
        <v>945</v>
      </c>
      <c r="M7" s="14"/>
      <c r="O7" s="41"/>
      <c r="P7" s="41"/>
      <c r="Q7" s="41"/>
    </row>
    <row r="8">
      <c r="A8" s="34" t="s">
        <v>1718</v>
      </c>
      <c r="B8" s="35" t="s">
        <v>17</v>
      </c>
      <c r="C8" s="36">
        <v>2025.0</v>
      </c>
      <c r="D8" s="36">
        <v>6.0</v>
      </c>
      <c r="E8" s="37">
        <v>46201.0</v>
      </c>
      <c r="F8" s="36">
        <v>2.0</v>
      </c>
      <c r="G8" s="35" t="s">
        <v>166</v>
      </c>
      <c r="H8" s="35" t="s">
        <v>166</v>
      </c>
      <c r="I8" s="39">
        <v>1500000.0</v>
      </c>
      <c r="J8" s="35"/>
      <c r="K8" s="57"/>
      <c r="L8" s="40" t="s">
        <v>945</v>
      </c>
      <c r="O8" s="41"/>
      <c r="P8" s="41"/>
      <c r="Q8" s="41"/>
    </row>
    <row r="9">
      <c r="A9" s="42" t="s">
        <v>1719</v>
      </c>
      <c r="B9" s="43" t="s">
        <v>17</v>
      </c>
      <c r="C9" s="44">
        <v>2025.0</v>
      </c>
      <c r="D9" s="44">
        <v>6.0</v>
      </c>
      <c r="E9" s="45">
        <v>46201.0</v>
      </c>
      <c r="F9" s="44">
        <v>2.0</v>
      </c>
      <c r="G9" s="43" t="s">
        <v>816</v>
      </c>
      <c r="H9" s="43" t="s">
        <v>195</v>
      </c>
      <c r="I9" s="47">
        <v>6300000.0</v>
      </c>
      <c r="J9" s="43"/>
      <c r="K9" s="58"/>
      <c r="L9" s="48" t="s">
        <v>945</v>
      </c>
      <c r="M9" s="14"/>
      <c r="O9" s="41"/>
      <c r="P9" s="41"/>
      <c r="Q9" s="41"/>
    </row>
    <row r="10">
      <c r="A10" s="34" t="s">
        <v>1720</v>
      </c>
      <c r="B10" s="35" t="s">
        <v>17</v>
      </c>
      <c r="C10" s="36">
        <v>2025.0</v>
      </c>
      <c r="D10" s="36">
        <v>7.0</v>
      </c>
      <c r="E10" s="37">
        <v>46213.0</v>
      </c>
      <c r="F10" s="36">
        <v>1.0</v>
      </c>
      <c r="G10" s="35" t="s">
        <v>166</v>
      </c>
      <c r="H10" s="35" t="s">
        <v>166</v>
      </c>
      <c r="I10" s="39">
        <v>4000000.0</v>
      </c>
      <c r="J10" s="35"/>
      <c r="K10" s="57"/>
      <c r="L10" s="40" t="s">
        <v>945</v>
      </c>
      <c r="M10" s="14"/>
      <c r="O10" s="41"/>
      <c r="P10" s="41"/>
      <c r="Q10" s="41"/>
    </row>
    <row r="11">
      <c r="A11" s="42" t="s">
        <v>1721</v>
      </c>
      <c r="B11" s="43" t="s">
        <v>17</v>
      </c>
      <c r="C11" s="44">
        <v>2025.0</v>
      </c>
      <c r="D11" s="44">
        <v>7.0</v>
      </c>
      <c r="E11" s="45">
        <v>46226.0</v>
      </c>
      <c r="F11" s="44">
        <v>2.0</v>
      </c>
      <c r="G11" s="43" t="s">
        <v>808</v>
      </c>
      <c r="H11" s="43" t="s">
        <v>172</v>
      </c>
      <c r="I11" s="47">
        <v>6726150.0</v>
      </c>
      <c r="J11" s="43"/>
      <c r="K11" s="58"/>
      <c r="L11" s="48" t="s">
        <v>945</v>
      </c>
      <c r="M11" s="14"/>
      <c r="O11" s="41"/>
      <c r="P11" s="41"/>
      <c r="Q11" s="41"/>
    </row>
    <row r="12">
      <c r="A12" s="34" t="s">
        <v>1722</v>
      </c>
      <c r="B12" s="35" t="s">
        <v>17</v>
      </c>
      <c r="C12" s="36">
        <v>2025.0</v>
      </c>
      <c r="D12" s="36">
        <v>7.0</v>
      </c>
      <c r="E12" s="37">
        <v>46226.0</v>
      </c>
      <c r="F12" s="36">
        <v>2.0</v>
      </c>
      <c r="G12" s="35" t="s">
        <v>166</v>
      </c>
      <c r="H12" s="35" t="s">
        <v>166</v>
      </c>
      <c r="I12" s="39">
        <v>1000000.0</v>
      </c>
      <c r="J12" s="35"/>
      <c r="K12" s="57"/>
      <c r="L12" s="40" t="s">
        <v>945</v>
      </c>
      <c r="M12" s="14"/>
      <c r="O12" s="41"/>
      <c r="P12" s="41"/>
      <c r="Q12" s="41"/>
    </row>
    <row r="13">
      <c r="A13" s="42" t="s">
        <v>1723</v>
      </c>
      <c r="B13" s="43" t="s">
        <v>17</v>
      </c>
      <c r="C13" s="44">
        <v>2025.0</v>
      </c>
      <c r="D13" s="44">
        <v>7.0</v>
      </c>
      <c r="E13" s="45">
        <v>46226.0</v>
      </c>
      <c r="F13" s="44">
        <v>2.0</v>
      </c>
      <c r="G13" s="43" t="s">
        <v>816</v>
      </c>
      <c r="H13" s="43" t="s">
        <v>195</v>
      </c>
      <c r="I13" s="47">
        <v>5400000.0</v>
      </c>
      <c r="J13" s="43"/>
      <c r="K13" s="58"/>
      <c r="L13" s="48" t="s">
        <v>945</v>
      </c>
      <c r="M13" s="14"/>
      <c r="O13" s="41"/>
      <c r="P13" s="41"/>
      <c r="Q13" s="41"/>
    </row>
    <row r="14">
      <c r="A14" s="34" t="s">
        <v>1724</v>
      </c>
      <c r="B14" s="35" t="s">
        <v>17</v>
      </c>
      <c r="C14" s="36">
        <v>2025.0</v>
      </c>
      <c r="D14" s="36">
        <v>7.0</v>
      </c>
      <c r="E14" s="37">
        <v>46226.0</v>
      </c>
      <c r="F14" s="36">
        <v>2.0</v>
      </c>
      <c r="G14" s="35" t="s">
        <v>205</v>
      </c>
      <c r="H14" s="35" t="s">
        <v>205</v>
      </c>
      <c r="I14" s="39">
        <v>4.0E7</v>
      </c>
      <c r="J14" s="35"/>
      <c r="K14" s="57"/>
      <c r="L14" s="40" t="s">
        <v>945</v>
      </c>
      <c r="M14" s="14"/>
      <c r="O14" s="41"/>
      <c r="P14" s="41"/>
      <c r="Q14" s="41"/>
    </row>
    <row r="15">
      <c r="A15" s="42" t="s">
        <v>1725</v>
      </c>
      <c r="B15" s="43" t="s">
        <v>17</v>
      </c>
      <c r="C15" s="44">
        <v>2025.0</v>
      </c>
      <c r="D15" s="44">
        <v>8.0</v>
      </c>
      <c r="E15" s="45">
        <v>46240.0</v>
      </c>
      <c r="F15" s="44">
        <v>1.0</v>
      </c>
      <c r="G15" s="43" t="s">
        <v>808</v>
      </c>
      <c r="H15" s="43" t="s">
        <v>172</v>
      </c>
      <c r="I15" s="47">
        <v>6000000.0</v>
      </c>
      <c r="J15" s="43"/>
      <c r="K15" s="58"/>
      <c r="L15" s="48" t="s">
        <v>945</v>
      </c>
      <c r="M15" s="14"/>
      <c r="O15" s="41"/>
      <c r="P15" s="41"/>
      <c r="Q15" s="41"/>
    </row>
    <row r="16">
      <c r="A16" s="34" t="s">
        <v>1726</v>
      </c>
      <c r="B16" s="35" t="s">
        <v>17</v>
      </c>
      <c r="C16" s="36">
        <v>2025.0</v>
      </c>
      <c r="D16" s="36">
        <v>8.0</v>
      </c>
      <c r="E16" s="37">
        <v>46240.0</v>
      </c>
      <c r="F16" s="36">
        <v>1.0</v>
      </c>
      <c r="G16" s="35" t="s">
        <v>166</v>
      </c>
      <c r="H16" s="35" t="s">
        <v>166</v>
      </c>
      <c r="I16" s="39">
        <v>5500000.0</v>
      </c>
      <c r="J16" s="35"/>
      <c r="K16" s="57"/>
      <c r="L16" s="40" t="s">
        <v>945</v>
      </c>
      <c r="M16" s="14"/>
      <c r="O16" s="41"/>
      <c r="P16" s="41"/>
      <c r="Q16" s="41"/>
    </row>
    <row r="17">
      <c r="A17" s="42" t="s">
        <v>1727</v>
      </c>
      <c r="B17" s="43" t="s">
        <v>17</v>
      </c>
      <c r="C17" s="44">
        <v>2025.0</v>
      </c>
      <c r="D17" s="44">
        <v>8.0</v>
      </c>
      <c r="E17" s="45">
        <v>46240.0</v>
      </c>
      <c r="F17" s="44">
        <v>1.0</v>
      </c>
      <c r="G17" s="43" t="s">
        <v>205</v>
      </c>
      <c r="H17" s="43" t="s">
        <v>205</v>
      </c>
      <c r="I17" s="47">
        <v>3.8E7</v>
      </c>
      <c r="J17" s="43"/>
      <c r="K17" s="58"/>
      <c r="L17" s="48" t="s">
        <v>945</v>
      </c>
      <c r="M17" s="14"/>
      <c r="O17" s="41"/>
      <c r="P17" s="41"/>
      <c r="Q17" s="41"/>
    </row>
    <row r="18">
      <c r="A18" s="34" t="s">
        <v>1728</v>
      </c>
      <c r="B18" s="35" t="s">
        <v>17</v>
      </c>
      <c r="C18" s="36">
        <v>2025.0</v>
      </c>
      <c r="D18" s="36">
        <v>8.0</v>
      </c>
      <c r="E18" s="37">
        <v>46253.0</v>
      </c>
      <c r="F18" s="36">
        <v>2.0</v>
      </c>
      <c r="G18" s="35" t="s">
        <v>808</v>
      </c>
      <c r="H18" s="35" t="s">
        <v>172</v>
      </c>
      <c r="I18" s="39">
        <v>1.037574E7</v>
      </c>
      <c r="J18" s="35"/>
      <c r="K18" s="57"/>
      <c r="L18" s="40" t="s">
        <v>945</v>
      </c>
      <c r="M18" s="14"/>
      <c r="O18" s="41"/>
      <c r="P18" s="41"/>
      <c r="Q18" s="41"/>
    </row>
    <row r="19">
      <c r="A19" s="42" t="s">
        <v>1729</v>
      </c>
      <c r="B19" s="43" t="s">
        <v>17</v>
      </c>
      <c r="C19" s="44">
        <v>2025.0</v>
      </c>
      <c r="D19" s="44">
        <v>8.0</v>
      </c>
      <c r="E19" s="45">
        <v>46253.0</v>
      </c>
      <c r="F19" s="44">
        <v>2.0</v>
      </c>
      <c r="G19" s="43" t="s">
        <v>166</v>
      </c>
      <c r="H19" s="43" t="s">
        <v>166</v>
      </c>
      <c r="I19" s="47">
        <v>1500000.0</v>
      </c>
      <c r="J19" s="43"/>
      <c r="K19" s="58"/>
      <c r="L19" s="48" t="s">
        <v>945</v>
      </c>
      <c r="M19" s="14"/>
      <c r="O19" s="41"/>
      <c r="P19" s="41"/>
      <c r="Q19" s="41"/>
    </row>
    <row r="20">
      <c r="A20" s="34" t="s">
        <v>1730</v>
      </c>
      <c r="B20" s="35" t="s">
        <v>17</v>
      </c>
      <c r="C20" s="36">
        <v>2025.0</v>
      </c>
      <c r="D20" s="36">
        <v>8.0</v>
      </c>
      <c r="E20" s="37">
        <v>46253.0</v>
      </c>
      <c r="F20" s="36">
        <v>2.0</v>
      </c>
      <c r="G20" s="35" t="s">
        <v>816</v>
      </c>
      <c r="H20" s="35" t="s">
        <v>195</v>
      </c>
      <c r="I20" s="39">
        <v>4000000.0</v>
      </c>
      <c r="J20" s="35"/>
      <c r="K20" s="57"/>
      <c r="L20" s="40" t="s">
        <v>945</v>
      </c>
      <c r="M20" s="14"/>
      <c r="O20" s="41"/>
      <c r="P20" s="41"/>
      <c r="Q20" s="41"/>
    </row>
    <row r="21">
      <c r="A21" s="42" t="s">
        <v>1731</v>
      </c>
      <c r="B21" s="43" t="s">
        <v>17</v>
      </c>
      <c r="C21" s="44">
        <v>2025.0</v>
      </c>
      <c r="D21" s="44">
        <v>8.0</v>
      </c>
      <c r="E21" s="45">
        <v>46253.0</v>
      </c>
      <c r="F21" s="44">
        <v>2.0</v>
      </c>
      <c r="G21" s="43" t="s">
        <v>205</v>
      </c>
      <c r="H21" s="43" t="s">
        <v>205</v>
      </c>
      <c r="I21" s="47">
        <v>3.5E7</v>
      </c>
      <c r="J21" s="43"/>
      <c r="K21" s="58"/>
      <c r="L21" s="48" t="s">
        <v>945</v>
      </c>
      <c r="M21" s="12"/>
      <c r="O21" s="41"/>
      <c r="P21" s="41"/>
      <c r="Q21" s="41"/>
    </row>
    <row r="22">
      <c r="A22" s="34" t="s">
        <v>1732</v>
      </c>
      <c r="B22" s="35" t="s">
        <v>17</v>
      </c>
      <c r="C22" s="36">
        <v>2025.0</v>
      </c>
      <c r="D22" s="36">
        <v>9.0</v>
      </c>
      <c r="E22" s="37">
        <v>46267.0</v>
      </c>
      <c r="F22" s="36">
        <v>1.0</v>
      </c>
      <c r="G22" s="35" t="s">
        <v>808</v>
      </c>
      <c r="H22" s="35" t="s">
        <v>172</v>
      </c>
      <c r="I22" s="39">
        <v>6000000.0</v>
      </c>
      <c r="J22" s="35"/>
      <c r="K22" s="57"/>
      <c r="L22" s="40" t="s">
        <v>945</v>
      </c>
      <c r="M22" s="12"/>
      <c r="O22" s="41"/>
      <c r="P22" s="41"/>
      <c r="Q22" s="41"/>
    </row>
    <row r="23">
      <c r="A23" s="42" t="s">
        <v>1733</v>
      </c>
      <c r="B23" s="43" t="s">
        <v>17</v>
      </c>
      <c r="C23" s="44">
        <v>2025.0</v>
      </c>
      <c r="D23" s="44">
        <v>9.0</v>
      </c>
      <c r="E23" s="45">
        <v>46267.0</v>
      </c>
      <c r="F23" s="44">
        <v>1.0</v>
      </c>
      <c r="G23" s="43" t="s">
        <v>166</v>
      </c>
      <c r="H23" s="43" t="s">
        <v>166</v>
      </c>
      <c r="I23" s="47">
        <v>5500000.0</v>
      </c>
      <c r="J23" s="43"/>
      <c r="K23" s="58"/>
      <c r="L23" s="48" t="s">
        <v>945</v>
      </c>
      <c r="M23" s="14"/>
      <c r="O23" s="41"/>
      <c r="P23" s="41"/>
      <c r="Q23" s="41"/>
    </row>
    <row r="24">
      <c r="A24" s="34" t="s">
        <v>1734</v>
      </c>
      <c r="B24" s="35" t="s">
        <v>17</v>
      </c>
      <c r="C24" s="36">
        <v>2025.0</v>
      </c>
      <c r="D24" s="36">
        <v>9.0</v>
      </c>
      <c r="E24" s="37">
        <v>46267.0</v>
      </c>
      <c r="F24" s="36">
        <v>1.0</v>
      </c>
      <c r="G24" s="35" t="s">
        <v>205</v>
      </c>
      <c r="H24" s="35" t="s">
        <v>205</v>
      </c>
      <c r="I24" s="39">
        <v>4.0E7</v>
      </c>
      <c r="J24" s="35"/>
      <c r="K24" s="57"/>
      <c r="L24" s="40" t="s">
        <v>945</v>
      </c>
      <c r="M24" s="12"/>
      <c r="O24" s="41"/>
      <c r="P24" s="41"/>
      <c r="Q24" s="41"/>
    </row>
    <row r="25">
      <c r="A25" s="42" t="s">
        <v>1735</v>
      </c>
      <c r="B25" s="43" t="s">
        <v>17</v>
      </c>
      <c r="C25" s="44">
        <v>2025.0</v>
      </c>
      <c r="D25" s="44">
        <v>9.0</v>
      </c>
      <c r="E25" s="45">
        <v>46281.0</v>
      </c>
      <c r="F25" s="44">
        <v>2.0</v>
      </c>
      <c r="G25" s="43" t="s">
        <v>808</v>
      </c>
      <c r="H25" s="43" t="s">
        <v>172</v>
      </c>
      <c r="I25" s="47">
        <v>1725610.0</v>
      </c>
      <c r="J25" s="43"/>
      <c r="K25" s="58"/>
      <c r="L25" s="48" t="s">
        <v>945</v>
      </c>
      <c r="M25" s="12"/>
      <c r="O25" s="41"/>
      <c r="P25" s="41"/>
      <c r="Q25" s="41"/>
    </row>
    <row r="26">
      <c r="A26" s="34" t="s">
        <v>1736</v>
      </c>
      <c r="B26" s="35" t="s">
        <v>17</v>
      </c>
      <c r="C26" s="36">
        <v>2025.0</v>
      </c>
      <c r="D26" s="36">
        <v>9.0</v>
      </c>
      <c r="E26" s="37">
        <v>46281.0</v>
      </c>
      <c r="F26" s="36">
        <v>2.0</v>
      </c>
      <c r="G26" s="35" t="s">
        <v>816</v>
      </c>
      <c r="H26" s="35" t="s">
        <v>195</v>
      </c>
      <c r="I26" s="39">
        <v>4500000.0</v>
      </c>
      <c r="J26" s="52"/>
      <c r="K26" s="52"/>
      <c r="L26" s="40" t="s">
        <v>945</v>
      </c>
    </row>
    <row r="27">
      <c r="A27" s="42" t="s">
        <v>1737</v>
      </c>
      <c r="B27" s="43" t="s">
        <v>17</v>
      </c>
      <c r="C27" s="44">
        <v>2025.0</v>
      </c>
      <c r="D27" s="44">
        <v>9.0</v>
      </c>
      <c r="E27" s="45">
        <v>46281.0</v>
      </c>
      <c r="F27" s="44">
        <v>2.0</v>
      </c>
      <c r="G27" s="43" t="s">
        <v>205</v>
      </c>
      <c r="H27" s="43" t="s">
        <v>205</v>
      </c>
      <c r="I27" s="47">
        <v>3.7E7</v>
      </c>
      <c r="J27" s="53"/>
      <c r="K27" s="53"/>
      <c r="L27" s="48" t="s">
        <v>945</v>
      </c>
    </row>
    <row r="28">
      <c r="A28" s="34" t="s">
        <v>1738</v>
      </c>
      <c r="B28" s="35" t="s">
        <v>17</v>
      </c>
      <c r="C28" s="36">
        <v>2025.0</v>
      </c>
      <c r="D28" s="36">
        <v>10.0</v>
      </c>
      <c r="E28" s="37">
        <v>46295.0</v>
      </c>
      <c r="F28" s="36">
        <v>1.0</v>
      </c>
      <c r="G28" s="35" t="s">
        <v>808</v>
      </c>
      <c r="H28" s="35" t="s">
        <v>172</v>
      </c>
      <c r="I28" s="39">
        <v>1.6E7</v>
      </c>
      <c r="J28" s="52"/>
      <c r="K28" s="52"/>
      <c r="L28" s="40" t="s">
        <v>945</v>
      </c>
    </row>
    <row r="29">
      <c r="A29" s="42" t="s">
        <v>1739</v>
      </c>
      <c r="B29" s="43" t="s">
        <v>17</v>
      </c>
      <c r="C29" s="44">
        <v>2025.0</v>
      </c>
      <c r="D29" s="44">
        <v>10.0</v>
      </c>
      <c r="E29" s="45">
        <v>46295.0</v>
      </c>
      <c r="F29" s="44">
        <v>1.0</v>
      </c>
      <c r="G29" s="43" t="s">
        <v>166</v>
      </c>
      <c r="H29" s="43" t="s">
        <v>166</v>
      </c>
      <c r="I29" s="47">
        <v>5800000.0</v>
      </c>
      <c r="J29" s="53"/>
      <c r="K29" s="53"/>
      <c r="L29" s="48" t="s">
        <v>945</v>
      </c>
    </row>
    <row r="30">
      <c r="A30" s="34" t="s">
        <v>1740</v>
      </c>
      <c r="B30" s="35" t="s">
        <v>17</v>
      </c>
      <c r="C30" s="36">
        <v>2025.0</v>
      </c>
      <c r="D30" s="36">
        <v>10.0</v>
      </c>
      <c r="E30" s="37">
        <v>46295.0</v>
      </c>
      <c r="F30" s="36">
        <v>1.0</v>
      </c>
      <c r="G30" s="35" t="s">
        <v>205</v>
      </c>
      <c r="H30" s="35" t="s">
        <v>205</v>
      </c>
      <c r="I30" s="39">
        <v>5.0E7</v>
      </c>
      <c r="J30" s="52"/>
      <c r="K30" s="52"/>
      <c r="L30" s="40" t="s">
        <v>945</v>
      </c>
    </row>
    <row r="31">
      <c r="A31" s="42" t="s">
        <v>1741</v>
      </c>
      <c r="B31" s="43" t="s">
        <v>17</v>
      </c>
      <c r="C31" s="44">
        <v>2025.0</v>
      </c>
      <c r="D31" s="44">
        <v>10.0</v>
      </c>
      <c r="E31" s="45">
        <v>46308.0</v>
      </c>
      <c r="F31" s="44">
        <v>2.0</v>
      </c>
      <c r="G31" s="43" t="s">
        <v>808</v>
      </c>
      <c r="H31" s="43" t="s">
        <v>172</v>
      </c>
      <c r="I31" s="47">
        <v>3901450.0</v>
      </c>
      <c r="J31" s="53"/>
      <c r="K31" s="53"/>
      <c r="L31" s="48" t="s">
        <v>945</v>
      </c>
    </row>
    <row r="32">
      <c r="A32" s="34" t="s">
        <v>1742</v>
      </c>
      <c r="B32" s="35" t="s">
        <v>17</v>
      </c>
      <c r="C32" s="36">
        <v>2025.0</v>
      </c>
      <c r="D32" s="36">
        <v>10.0</v>
      </c>
      <c r="E32" s="37">
        <v>46308.0</v>
      </c>
      <c r="F32" s="36">
        <v>2.0</v>
      </c>
      <c r="G32" s="35" t="s">
        <v>816</v>
      </c>
      <c r="H32" s="35" t="s">
        <v>195</v>
      </c>
      <c r="I32" s="39">
        <v>6300000.0</v>
      </c>
      <c r="J32" s="52"/>
      <c r="K32" s="52"/>
      <c r="L32" s="40" t="s">
        <v>945</v>
      </c>
    </row>
    <row r="33">
      <c r="A33" s="42" t="s">
        <v>1743</v>
      </c>
      <c r="B33" s="43" t="s">
        <v>17</v>
      </c>
      <c r="C33" s="44">
        <v>2025.0</v>
      </c>
      <c r="D33" s="44">
        <v>11.0</v>
      </c>
      <c r="E33" s="45">
        <v>46323.0</v>
      </c>
      <c r="F33" s="44">
        <v>1.0</v>
      </c>
      <c r="G33" s="43" t="s">
        <v>808</v>
      </c>
      <c r="H33" s="43" t="s">
        <v>172</v>
      </c>
      <c r="I33" s="47">
        <v>5.4E7</v>
      </c>
      <c r="J33" s="53"/>
      <c r="K33" s="53"/>
      <c r="L33" s="48" t="s">
        <v>945</v>
      </c>
    </row>
    <row r="34">
      <c r="A34" s="34" t="s">
        <v>1744</v>
      </c>
      <c r="B34" s="35" t="s">
        <v>17</v>
      </c>
      <c r="C34" s="36">
        <v>2025.0</v>
      </c>
      <c r="D34" s="36">
        <v>11.0</v>
      </c>
      <c r="E34" s="37">
        <v>46323.0</v>
      </c>
      <c r="F34" s="36">
        <v>1.0</v>
      </c>
      <c r="G34" s="35" t="s">
        <v>166</v>
      </c>
      <c r="H34" s="35" t="s">
        <v>166</v>
      </c>
      <c r="I34" s="39">
        <v>6000000.0</v>
      </c>
      <c r="J34" s="52"/>
      <c r="K34" s="52"/>
      <c r="L34" s="40" t="s">
        <v>945</v>
      </c>
    </row>
    <row r="35">
      <c r="A35" s="42" t="s">
        <v>1745</v>
      </c>
      <c r="B35" s="43" t="s">
        <v>17</v>
      </c>
      <c r="C35" s="44">
        <v>2025.0</v>
      </c>
      <c r="D35" s="44">
        <v>11.0</v>
      </c>
      <c r="E35" s="45">
        <v>46335.0</v>
      </c>
      <c r="F35" s="44">
        <v>2.0</v>
      </c>
      <c r="G35" s="43" t="s">
        <v>808</v>
      </c>
      <c r="H35" s="43" t="s">
        <v>172</v>
      </c>
      <c r="I35" s="47">
        <v>4.667646E7</v>
      </c>
      <c r="J35" s="53"/>
      <c r="K35" s="53"/>
      <c r="L35" s="48" t="s">
        <v>945</v>
      </c>
    </row>
    <row r="36">
      <c r="A36" s="34" t="s">
        <v>1746</v>
      </c>
      <c r="B36" s="35" t="s">
        <v>17</v>
      </c>
      <c r="C36" s="36">
        <v>2025.0</v>
      </c>
      <c r="D36" s="36">
        <v>11.0</v>
      </c>
      <c r="E36" s="37">
        <v>46335.0</v>
      </c>
      <c r="F36" s="36">
        <v>2.0</v>
      </c>
      <c r="G36" s="35" t="s">
        <v>816</v>
      </c>
      <c r="H36" s="35" t="s">
        <v>195</v>
      </c>
      <c r="I36" s="39">
        <v>1.1E7</v>
      </c>
      <c r="J36" s="52"/>
      <c r="K36" s="52"/>
      <c r="L36" s="40" t="s">
        <v>945</v>
      </c>
    </row>
    <row r="37">
      <c r="A37" s="42" t="s">
        <v>1747</v>
      </c>
      <c r="B37" s="43" t="s">
        <v>17</v>
      </c>
      <c r="C37" s="44">
        <v>2025.0</v>
      </c>
      <c r="D37" s="44">
        <v>11.0</v>
      </c>
      <c r="E37" s="45">
        <v>46335.0</v>
      </c>
      <c r="F37" s="44">
        <v>2.0</v>
      </c>
      <c r="G37" s="43" t="s">
        <v>205</v>
      </c>
      <c r="H37" s="43" t="s">
        <v>205</v>
      </c>
      <c r="I37" s="47">
        <v>3.7E7</v>
      </c>
      <c r="J37" s="53"/>
      <c r="K37" s="53"/>
      <c r="L37" s="48" t="s">
        <v>945</v>
      </c>
    </row>
    <row r="38">
      <c r="A38" s="34" t="s">
        <v>1748</v>
      </c>
      <c r="B38" s="35" t="s">
        <v>17</v>
      </c>
      <c r="C38" s="36">
        <v>2025.0</v>
      </c>
      <c r="D38" s="36">
        <v>12.0</v>
      </c>
      <c r="E38" s="37">
        <v>46350.0</v>
      </c>
      <c r="F38" s="36">
        <v>1.0</v>
      </c>
      <c r="G38" s="35" t="s">
        <v>166</v>
      </c>
      <c r="H38" s="35" t="s">
        <v>166</v>
      </c>
      <c r="I38" s="39">
        <v>6000000.0</v>
      </c>
      <c r="J38" s="52"/>
      <c r="K38" s="52"/>
      <c r="L38" s="40" t="s">
        <v>945</v>
      </c>
    </row>
    <row r="39">
      <c r="A39" s="42" t="s">
        <v>1749</v>
      </c>
      <c r="B39" s="43" t="s">
        <v>17</v>
      </c>
      <c r="C39" s="44">
        <v>2025.0</v>
      </c>
      <c r="D39" s="44">
        <v>12.0</v>
      </c>
      <c r="E39" s="45">
        <v>46350.0</v>
      </c>
      <c r="F39" s="44">
        <v>1.0</v>
      </c>
      <c r="G39" s="43" t="s">
        <v>205</v>
      </c>
      <c r="H39" s="43" t="s">
        <v>205</v>
      </c>
      <c r="I39" s="47">
        <v>6.2E7</v>
      </c>
      <c r="J39" s="53"/>
      <c r="K39" s="53"/>
      <c r="L39" s="48" t="s">
        <v>945</v>
      </c>
    </row>
  </sheetData>
  <autoFilter ref="$A$1:$L$39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563EB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hidden="1" min="1" max="1" width="20.75"/>
    <col customWidth="1" min="2" max="2" width="8.0"/>
    <col customWidth="1" min="3" max="4" width="12.0"/>
    <col customWidth="1" min="5" max="5" width="12.38"/>
    <col customWidth="1" min="6" max="6" width="12.13"/>
    <col customWidth="1" min="7" max="7" width="11.88"/>
    <col customWidth="1" min="8" max="8" width="7.38"/>
    <col customWidth="1" min="9" max="10" width="8.38"/>
    <col customWidth="1" min="11" max="11" width="10.5"/>
    <col customWidth="1" min="12" max="12" width="34.63"/>
    <col customWidth="1" min="13" max="13" width="11.88"/>
    <col customWidth="1" hidden="1" min="14" max="14" width="17.38"/>
    <col customWidth="1" hidden="1" min="15" max="15" width="11.88"/>
    <col customWidth="1" hidden="1" min="16" max="16" width="39.5"/>
    <col customWidth="1" hidden="1" min="17" max="17" width="11.13"/>
    <col customWidth="1" hidden="1" min="18" max="18" width="11.5"/>
    <col customWidth="1" hidden="1" min="19" max="19" width="12.0"/>
    <col customWidth="1" hidden="1" min="20" max="20" width="9.63"/>
    <col customWidth="1" hidden="1" min="21" max="22" width="12.13"/>
    <col customWidth="1" hidden="1" min="23" max="24" width="12.0"/>
  </cols>
  <sheetData>
    <row r="1">
      <c r="A1" s="28" t="s">
        <v>0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888</v>
      </c>
      <c r="G1" s="28" t="s">
        <v>1750</v>
      </c>
      <c r="H1" s="28" t="s">
        <v>889</v>
      </c>
      <c r="I1" s="28" t="s">
        <v>891</v>
      </c>
      <c r="J1" s="28" t="s">
        <v>9</v>
      </c>
      <c r="K1" s="28" t="s">
        <v>892</v>
      </c>
      <c r="L1" s="28" t="s">
        <v>10</v>
      </c>
      <c r="M1" s="28" t="s">
        <v>890</v>
      </c>
      <c r="N1" s="28" t="s">
        <v>12</v>
      </c>
      <c r="O1" s="28" t="s">
        <v>143</v>
      </c>
      <c r="P1" s="28" t="s">
        <v>144</v>
      </c>
      <c r="Q1" s="28" t="s">
        <v>1</v>
      </c>
      <c r="R1" s="28" t="s">
        <v>2</v>
      </c>
      <c r="S1" s="28" t="s">
        <v>11</v>
      </c>
      <c r="T1" s="28" t="s">
        <v>14</v>
      </c>
      <c r="U1" s="28" t="s">
        <v>942</v>
      </c>
      <c r="V1" s="28" t="s">
        <v>145</v>
      </c>
      <c r="W1" s="28" t="s">
        <v>146</v>
      </c>
      <c r="X1" s="28" t="s">
        <v>147</v>
      </c>
    </row>
    <row r="2">
      <c r="A2" s="2" t="s">
        <v>1751</v>
      </c>
      <c r="B2" s="2" t="s">
        <v>17</v>
      </c>
      <c r="C2" s="4">
        <v>2025.0</v>
      </c>
      <c r="D2" s="4">
        <v>2.0</v>
      </c>
      <c r="E2" s="29"/>
      <c r="F2" s="2" t="s">
        <v>894</v>
      </c>
      <c r="G2" s="2" t="s">
        <v>894</v>
      </c>
      <c r="H2" s="15">
        <v>1.5</v>
      </c>
      <c r="I2" s="2" t="s">
        <v>899</v>
      </c>
      <c r="J2" s="5">
        <v>135.0</v>
      </c>
      <c r="K2" s="2" t="s">
        <v>900</v>
      </c>
      <c r="L2" s="2" t="s">
        <v>896</v>
      </c>
      <c r="M2" s="2" t="s">
        <v>895</v>
      </c>
      <c r="N2" s="4" t="s">
        <v>1753</v>
      </c>
      <c r="O2" s="3">
        <v>46183.42287037037</v>
      </c>
      <c r="P2" s="2" t="s">
        <v>946</v>
      </c>
      <c r="Q2" s="29"/>
      <c r="R2" s="29"/>
      <c r="V2" s="30"/>
      <c r="W2" s="30"/>
    </row>
    <row r="3">
      <c r="A3" s="2" t="s">
        <v>1754</v>
      </c>
      <c r="B3" s="2" t="s">
        <v>17</v>
      </c>
      <c r="C3" s="4">
        <v>2025.0</v>
      </c>
      <c r="D3" s="4">
        <v>3.0</v>
      </c>
      <c r="E3" s="29"/>
      <c r="F3" s="2" t="s">
        <v>902</v>
      </c>
      <c r="G3" s="2" t="s">
        <v>902</v>
      </c>
      <c r="H3" s="15">
        <v>1.5</v>
      </c>
      <c r="I3" s="2" t="s">
        <v>899</v>
      </c>
      <c r="J3" s="5">
        <v>135.0</v>
      </c>
      <c r="K3" s="2" t="s">
        <v>900</v>
      </c>
      <c r="L3" s="2" t="s">
        <v>896</v>
      </c>
      <c r="M3" s="2" t="s">
        <v>895</v>
      </c>
      <c r="N3" s="4" t="s">
        <v>1753</v>
      </c>
      <c r="O3" s="3">
        <v>46183.42287037037</v>
      </c>
      <c r="P3" s="2" t="s">
        <v>946</v>
      </c>
      <c r="Q3" s="29"/>
      <c r="R3" s="29"/>
      <c r="V3" s="30"/>
      <c r="W3" s="30"/>
    </row>
    <row r="4">
      <c r="A4" s="2" t="s">
        <v>1756</v>
      </c>
      <c r="B4" s="2" t="s">
        <v>17</v>
      </c>
      <c r="C4" s="4">
        <v>2025.0</v>
      </c>
      <c r="D4" s="4">
        <v>4.0</v>
      </c>
      <c r="E4" s="29"/>
      <c r="F4" s="2" t="s">
        <v>485</v>
      </c>
      <c r="G4" s="2" t="s">
        <v>485</v>
      </c>
      <c r="H4" s="15">
        <v>1.5</v>
      </c>
      <c r="I4" s="2" t="s">
        <v>899</v>
      </c>
      <c r="J4" s="5">
        <v>95.0</v>
      </c>
      <c r="K4" s="2" t="s">
        <v>900</v>
      </c>
      <c r="L4" s="2" t="s">
        <v>896</v>
      </c>
      <c r="M4" s="2" t="s">
        <v>895</v>
      </c>
      <c r="N4" s="4" t="s">
        <v>1753</v>
      </c>
      <c r="O4" s="3">
        <v>46183.42287037037</v>
      </c>
      <c r="P4" s="2" t="s">
        <v>946</v>
      </c>
      <c r="Q4" s="29"/>
      <c r="R4" s="29"/>
      <c r="V4" s="30"/>
      <c r="W4" s="30"/>
    </row>
    <row r="5">
      <c r="A5" s="2" t="s">
        <v>1758</v>
      </c>
      <c r="B5" s="2" t="s">
        <v>17</v>
      </c>
      <c r="C5" s="4">
        <v>2025.0</v>
      </c>
      <c r="D5" s="4">
        <v>5.0</v>
      </c>
      <c r="E5" s="29"/>
      <c r="F5" s="2" t="s">
        <v>1759</v>
      </c>
      <c r="G5" s="2" t="s">
        <v>1759</v>
      </c>
      <c r="H5" s="15">
        <v>1.5</v>
      </c>
      <c r="I5" s="2" t="s">
        <v>899</v>
      </c>
      <c r="J5" s="5">
        <v>95.0</v>
      </c>
      <c r="K5" s="2" t="s">
        <v>900</v>
      </c>
      <c r="L5" s="2" t="s">
        <v>896</v>
      </c>
      <c r="M5" s="2" t="s">
        <v>895</v>
      </c>
      <c r="N5" s="4" t="s">
        <v>1753</v>
      </c>
      <c r="O5" s="3">
        <v>46183.42287037037</v>
      </c>
      <c r="P5" s="2" t="s">
        <v>946</v>
      </c>
      <c r="Q5" s="29"/>
      <c r="R5" s="29"/>
      <c r="V5" s="30"/>
      <c r="W5" s="30"/>
    </row>
    <row r="6">
      <c r="A6" s="2" t="s">
        <v>1761</v>
      </c>
      <c r="B6" s="2" t="s">
        <v>17</v>
      </c>
      <c r="C6" s="4">
        <v>2025.0</v>
      </c>
      <c r="D6" s="4">
        <v>6.0</v>
      </c>
      <c r="E6" s="29"/>
      <c r="F6" s="2" t="s">
        <v>1762</v>
      </c>
      <c r="G6" s="2" t="s">
        <v>1762</v>
      </c>
      <c r="H6" s="15">
        <v>1.0</v>
      </c>
      <c r="I6" s="2" t="s">
        <v>899</v>
      </c>
      <c r="J6" s="5">
        <v>19.0</v>
      </c>
      <c r="K6" s="2" t="s">
        <v>900</v>
      </c>
      <c r="L6" s="2" t="s">
        <v>896</v>
      </c>
      <c r="M6" s="2" t="s">
        <v>895</v>
      </c>
      <c r="N6" s="4" t="s">
        <v>1753</v>
      </c>
      <c r="O6" s="3">
        <v>46183.42287037037</v>
      </c>
      <c r="P6" s="2" t="s">
        <v>946</v>
      </c>
      <c r="Q6" s="29"/>
      <c r="R6" s="29"/>
      <c r="V6" s="30"/>
      <c r="W6" s="30"/>
    </row>
    <row r="7">
      <c r="A7" s="2" t="s">
        <v>1764</v>
      </c>
      <c r="B7" s="2" t="s">
        <v>17</v>
      </c>
      <c r="C7" s="4">
        <v>2025.0</v>
      </c>
      <c r="D7" s="4">
        <v>8.0</v>
      </c>
      <c r="E7" s="29"/>
      <c r="F7" s="2" t="s">
        <v>894</v>
      </c>
      <c r="G7" s="2" t="s">
        <v>894</v>
      </c>
      <c r="H7" s="15">
        <v>1.25</v>
      </c>
      <c r="I7" s="2" t="s">
        <v>899</v>
      </c>
      <c r="J7" s="5">
        <v>122.0</v>
      </c>
      <c r="K7" s="2" t="s">
        <v>900</v>
      </c>
      <c r="L7" s="2" t="s">
        <v>1775</v>
      </c>
      <c r="M7" s="2" t="s">
        <v>895</v>
      </c>
      <c r="N7" s="4" t="s">
        <v>1753</v>
      </c>
      <c r="O7" s="3">
        <v>46183.42287037037</v>
      </c>
      <c r="P7" s="2" t="s">
        <v>946</v>
      </c>
      <c r="Q7" s="29"/>
      <c r="R7" s="29"/>
      <c r="V7" s="30"/>
      <c r="W7" s="30"/>
    </row>
    <row r="8">
      <c r="A8" s="2" t="s">
        <v>1766</v>
      </c>
      <c r="B8" s="2" t="s">
        <v>17</v>
      </c>
      <c r="C8" s="4">
        <v>2025.0</v>
      </c>
      <c r="D8" s="4">
        <v>9.0</v>
      </c>
      <c r="E8" s="29"/>
      <c r="F8" s="2" t="s">
        <v>902</v>
      </c>
      <c r="G8" s="2" t="s">
        <v>902</v>
      </c>
      <c r="H8" s="15">
        <v>1.25</v>
      </c>
      <c r="I8" s="2" t="s">
        <v>899</v>
      </c>
      <c r="J8" s="5">
        <v>127.0</v>
      </c>
      <c r="K8" s="2" t="s">
        <v>900</v>
      </c>
      <c r="L8" s="2" t="s">
        <v>1775</v>
      </c>
      <c r="M8" s="2" t="s">
        <v>895</v>
      </c>
      <c r="N8" s="4" t="s">
        <v>1753</v>
      </c>
      <c r="O8" s="3">
        <v>46183.42287037037</v>
      </c>
      <c r="P8" s="2" t="s">
        <v>946</v>
      </c>
      <c r="Q8" s="29"/>
      <c r="R8" s="29"/>
      <c r="V8" s="30"/>
      <c r="W8" s="30"/>
    </row>
    <row r="9">
      <c r="A9" s="2" t="s">
        <v>1768</v>
      </c>
      <c r="B9" s="2" t="s">
        <v>17</v>
      </c>
      <c r="C9" s="4">
        <v>2025.0</v>
      </c>
      <c r="D9" s="4">
        <v>10.0</v>
      </c>
      <c r="E9" s="29"/>
      <c r="F9" s="2" t="s">
        <v>485</v>
      </c>
      <c r="G9" s="2" t="s">
        <v>485</v>
      </c>
      <c r="H9" s="15">
        <v>1.25</v>
      </c>
      <c r="I9" s="2" t="s">
        <v>899</v>
      </c>
      <c r="J9" s="5">
        <v>130.0</v>
      </c>
      <c r="K9" s="2" t="s">
        <v>900</v>
      </c>
      <c r="L9" s="2" t="s">
        <v>1775</v>
      </c>
      <c r="M9" s="2" t="s">
        <v>895</v>
      </c>
      <c r="N9" s="4" t="s">
        <v>1753</v>
      </c>
      <c r="O9" s="3">
        <v>46183.42287037037</v>
      </c>
      <c r="P9" s="2" t="s">
        <v>946</v>
      </c>
      <c r="Q9" s="29"/>
      <c r="R9" s="29"/>
      <c r="V9" s="30"/>
      <c r="W9" s="30"/>
    </row>
    <row r="10">
      <c r="A10" s="2" t="s">
        <v>1770</v>
      </c>
      <c r="B10" s="2" t="s">
        <v>17</v>
      </c>
      <c r="C10" s="4">
        <v>2025.0</v>
      </c>
      <c r="D10" s="4">
        <v>11.0</v>
      </c>
      <c r="E10" s="29"/>
      <c r="F10" s="2" t="s">
        <v>1759</v>
      </c>
      <c r="G10" s="2" t="s">
        <v>1759</v>
      </c>
      <c r="H10" s="15">
        <v>1.25</v>
      </c>
      <c r="I10" s="2" t="s">
        <v>899</v>
      </c>
      <c r="J10" s="5">
        <v>130.0</v>
      </c>
      <c r="K10" s="2" t="s">
        <v>900</v>
      </c>
      <c r="L10" s="2" t="s">
        <v>1775</v>
      </c>
      <c r="M10" s="2" t="s">
        <v>895</v>
      </c>
      <c r="N10" s="4" t="s">
        <v>1753</v>
      </c>
      <c r="O10" s="3">
        <v>46183.42287037037</v>
      </c>
      <c r="P10" s="2" t="s">
        <v>946</v>
      </c>
      <c r="Q10" s="29"/>
      <c r="R10" s="29"/>
      <c r="V10" s="30"/>
      <c r="W10" s="30"/>
    </row>
    <row r="11">
      <c r="A11" s="2" t="s">
        <v>1772</v>
      </c>
      <c r="B11" s="2" t="s">
        <v>17</v>
      </c>
      <c r="C11" s="4">
        <v>2025.0</v>
      </c>
      <c r="D11" s="4">
        <v>12.0</v>
      </c>
      <c r="E11" s="29"/>
      <c r="F11" s="2" t="s">
        <v>1773</v>
      </c>
      <c r="G11" s="2" t="s">
        <v>1773</v>
      </c>
      <c r="H11" s="15">
        <v>0.13</v>
      </c>
      <c r="I11" s="2" t="s">
        <v>899</v>
      </c>
      <c r="J11" s="5">
        <v>20.0</v>
      </c>
      <c r="K11" s="2" t="s">
        <v>900</v>
      </c>
      <c r="L11" s="2" t="s">
        <v>1775</v>
      </c>
      <c r="M11" s="2" t="s">
        <v>895</v>
      </c>
      <c r="N11" s="4" t="s">
        <v>1753</v>
      </c>
      <c r="O11" s="3">
        <v>46183.42287037037</v>
      </c>
      <c r="P11" s="2" t="s">
        <v>946</v>
      </c>
      <c r="Q11" s="29"/>
      <c r="R11" s="29"/>
      <c r="V11" s="30"/>
      <c r="W11" s="30"/>
    </row>
  </sheetData>
  <autoFilter ref="$A$1:$X$11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" width="12.0"/>
    <col customWidth="1" min="3" max="3" width="10.25"/>
    <col customWidth="1" hidden="1" min="4" max="4" width="11.13"/>
    <col customWidth="1" hidden="1" min="5" max="5" width="11.5"/>
  </cols>
  <sheetData>
    <row r="1">
      <c r="A1" s="59" t="s">
        <v>4</v>
      </c>
      <c r="B1" s="59" t="s">
        <v>5</v>
      </c>
      <c r="C1" s="59" t="s">
        <v>117</v>
      </c>
      <c r="D1" s="59" t="s">
        <v>1</v>
      </c>
      <c r="E1" s="59" t="s">
        <v>2</v>
      </c>
    </row>
  </sheetData>
  <autoFilter ref="$A$1:$E$1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1.88"/>
    <col customWidth="1" min="2" max="2" width="8.0"/>
    <col customWidth="1" hidden="1" min="3" max="3" width="11.13"/>
    <col customWidth="1" hidden="1" min="4" max="4" width="11.5"/>
    <col customWidth="1" min="5" max="5" width="8.88"/>
  </cols>
  <sheetData>
    <row r="1">
      <c r="A1" s="59" t="s">
        <v>1750</v>
      </c>
      <c r="B1" s="59" t="s">
        <v>3</v>
      </c>
      <c r="C1" s="59" t="s">
        <v>1</v>
      </c>
      <c r="D1" s="59" t="s">
        <v>2</v>
      </c>
      <c r="E1" s="59" t="s">
        <v>157</v>
      </c>
    </row>
  </sheetData>
  <autoFilter ref="$A$1:$E$1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" width="12.0"/>
    <col customWidth="1" min="3" max="3" width="11.88"/>
    <col customWidth="1" min="4" max="4" width="10.38"/>
    <col customWidth="1" min="5" max="5" width="10.75"/>
    <col customWidth="1" min="6" max="6" width="11.63"/>
    <col customWidth="1" hidden="1" min="7" max="8" width="20.5"/>
  </cols>
  <sheetData>
    <row r="1">
      <c r="A1" s="59" t="s">
        <v>4</v>
      </c>
      <c r="B1" s="59" t="s">
        <v>5</v>
      </c>
      <c r="C1" s="59" t="s">
        <v>1776</v>
      </c>
      <c r="D1" s="59" t="s">
        <v>150</v>
      </c>
      <c r="E1" s="59" t="s">
        <v>151</v>
      </c>
      <c r="F1" s="59" t="s">
        <v>10</v>
      </c>
      <c r="G1" s="59" t="s">
        <v>1</v>
      </c>
      <c r="H1" s="59" t="s">
        <v>2</v>
      </c>
    </row>
    <row r="2">
      <c r="A2" s="4">
        <v>2026.0</v>
      </c>
      <c r="B2" s="4">
        <v>1.0</v>
      </c>
      <c r="C2" s="2" t="s">
        <v>1777</v>
      </c>
      <c r="G2" s="3" t="s">
        <v>1778</v>
      </c>
      <c r="H2" s="3" t="s">
        <v>1778</v>
      </c>
    </row>
    <row r="3">
      <c r="A3" s="4">
        <v>2026.0</v>
      </c>
      <c r="B3" s="4">
        <v>2.0</v>
      </c>
      <c r="C3" s="2" t="s">
        <v>1777</v>
      </c>
      <c r="G3" s="3" t="s">
        <v>1778</v>
      </c>
      <c r="H3" s="3" t="s">
        <v>1778</v>
      </c>
    </row>
    <row r="4">
      <c r="A4" s="4">
        <v>2026.0</v>
      </c>
      <c r="B4" s="4">
        <v>3.0</v>
      </c>
      <c r="C4" s="2" t="s">
        <v>1777</v>
      </c>
      <c r="G4" s="3" t="s">
        <v>1778</v>
      </c>
      <c r="H4" s="3" t="s">
        <v>1778</v>
      </c>
    </row>
    <row r="5">
      <c r="A5" s="4">
        <v>2026.0</v>
      </c>
      <c r="B5" s="4">
        <v>4.0</v>
      </c>
      <c r="C5" s="2" t="s">
        <v>1777</v>
      </c>
      <c r="G5" s="3" t="s">
        <v>1778</v>
      </c>
      <c r="H5" s="3" t="s">
        <v>1778</v>
      </c>
    </row>
    <row r="6">
      <c r="A6" s="4">
        <v>2026.0</v>
      </c>
      <c r="B6" s="4">
        <v>5.0</v>
      </c>
      <c r="C6" s="2" t="s">
        <v>1777</v>
      </c>
      <c r="G6" s="3" t="s">
        <v>1778</v>
      </c>
      <c r="H6" s="3" t="s">
        <v>1778</v>
      </c>
    </row>
    <row r="7">
      <c r="A7" s="4">
        <v>2026.0</v>
      </c>
      <c r="B7" s="4">
        <v>6.0</v>
      </c>
      <c r="C7" s="2" t="s">
        <v>1777</v>
      </c>
      <c r="G7" s="3" t="s">
        <v>1778</v>
      </c>
      <c r="H7" s="3" t="s">
        <v>1778</v>
      </c>
    </row>
    <row r="8">
      <c r="A8" s="4">
        <v>2026.0</v>
      </c>
      <c r="B8" s="4">
        <v>7.0</v>
      </c>
      <c r="C8" s="2" t="s">
        <v>1777</v>
      </c>
      <c r="G8" s="3" t="s">
        <v>1778</v>
      </c>
      <c r="H8" s="3" t="s">
        <v>1778</v>
      </c>
    </row>
    <row r="9">
      <c r="A9" s="4">
        <v>2026.0</v>
      </c>
      <c r="B9" s="4">
        <v>8.0</v>
      </c>
      <c r="C9" s="2" t="s">
        <v>1777</v>
      </c>
      <c r="G9" s="3" t="s">
        <v>1778</v>
      </c>
      <c r="H9" s="3" t="s">
        <v>1778</v>
      </c>
    </row>
    <row r="10">
      <c r="A10" s="4">
        <v>2026.0</v>
      </c>
      <c r="B10" s="4">
        <v>9.0</v>
      </c>
      <c r="C10" s="2" t="s">
        <v>1777</v>
      </c>
      <c r="G10" s="3" t="s">
        <v>1778</v>
      </c>
      <c r="H10" s="3" t="s">
        <v>1778</v>
      </c>
    </row>
    <row r="11">
      <c r="A11" s="4">
        <v>2026.0</v>
      </c>
      <c r="B11" s="4">
        <v>10.0</v>
      </c>
      <c r="C11" s="2" t="s">
        <v>1777</v>
      </c>
      <c r="G11" s="3" t="s">
        <v>1778</v>
      </c>
      <c r="H11" s="3" t="s">
        <v>1778</v>
      </c>
    </row>
    <row r="12">
      <c r="A12" s="4">
        <v>2026.0</v>
      </c>
      <c r="B12" s="4">
        <v>11.0</v>
      </c>
      <c r="C12" s="2" t="s">
        <v>1777</v>
      </c>
      <c r="G12" s="3" t="s">
        <v>1778</v>
      </c>
      <c r="H12" s="3" t="s">
        <v>1778</v>
      </c>
    </row>
    <row r="13">
      <c r="A13" s="4">
        <v>2026.0</v>
      </c>
      <c r="B13" s="4">
        <v>12.0</v>
      </c>
      <c r="C13" s="2" t="s">
        <v>1777</v>
      </c>
      <c r="G13" s="3" t="s">
        <v>1778</v>
      </c>
      <c r="H13" s="3" t="s">
        <v>1778</v>
      </c>
    </row>
  </sheetData>
  <autoFilter ref="$A$1:$H$1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B308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7.63"/>
    <col customWidth="1" min="2" max="2" width="87.63"/>
    <col customWidth="1" min="3" max="3" width="50.13"/>
    <col customWidth="1" hidden="1" min="4" max="4" width="20.5"/>
  </cols>
  <sheetData>
    <row r="1">
      <c r="A1" s="60" t="s">
        <v>1779</v>
      </c>
      <c r="B1" s="60" t="s">
        <v>1780</v>
      </c>
      <c r="C1" s="60" t="s">
        <v>10</v>
      </c>
      <c r="D1" s="60" t="s">
        <v>2</v>
      </c>
    </row>
    <row r="2">
      <c r="A2" s="2" t="s">
        <v>1781</v>
      </c>
      <c r="B2" s="2">
        <v>2026.0</v>
      </c>
      <c r="C2" s="2" t="s">
        <v>1782</v>
      </c>
      <c r="D2" s="3">
        <v>46182.5729441088</v>
      </c>
    </row>
    <row r="3">
      <c r="A3" s="2" t="s">
        <v>1783</v>
      </c>
      <c r="B3" s="2" t="s">
        <v>1784</v>
      </c>
      <c r="C3" s="2" t="s">
        <v>1785</v>
      </c>
      <c r="D3" s="3" t="s">
        <v>1786</v>
      </c>
    </row>
    <row r="4">
      <c r="A4" s="2" t="s">
        <v>1787</v>
      </c>
      <c r="B4" s="2" t="s">
        <v>1788</v>
      </c>
      <c r="C4" s="2" t="s">
        <v>1789</v>
      </c>
      <c r="D4" s="3" t="s">
        <v>1790</v>
      </c>
    </row>
    <row r="5">
      <c r="A5" s="2" t="s">
        <v>1791</v>
      </c>
      <c r="B5" s="2" t="s">
        <v>1792</v>
      </c>
      <c r="C5" s="2" t="s">
        <v>1793</v>
      </c>
      <c r="D5" s="3" t="s">
        <v>1794</v>
      </c>
    </row>
    <row r="6">
      <c r="A6" s="2" t="s">
        <v>1795</v>
      </c>
      <c r="B6" s="2" t="s">
        <v>1796</v>
      </c>
      <c r="C6" s="2" t="s">
        <v>1797</v>
      </c>
      <c r="D6" s="3" t="s">
        <v>1798</v>
      </c>
    </row>
    <row r="7">
      <c r="A7" s="2" t="s">
        <v>1799</v>
      </c>
      <c r="B7" s="2">
        <v>2026.0</v>
      </c>
      <c r="C7" s="2" t="s">
        <v>1800</v>
      </c>
      <c r="D7" s="3">
        <v>46182.45161337963</v>
      </c>
    </row>
    <row r="8">
      <c r="A8" s="2" t="s">
        <v>1801</v>
      </c>
      <c r="B8" s="7">
        <v>2026.0</v>
      </c>
      <c r="C8" s="2" t="s">
        <v>1802</v>
      </c>
      <c r="D8" s="3">
        <v>46182.451616805556</v>
      </c>
    </row>
    <row r="9">
      <c r="A9" s="2" t="s">
        <v>1803</v>
      </c>
      <c r="B9" s="2" t="s">
        <v>1804</v>
      </c>
      <c r="C9" s="2" t="s">
        <v>1805</v>
      </c>
      <c r="D9" s="3">
        <v>46182.451620625</v>
      </c>
    </row>
  </sheetData>
  <autoFilter ref="$A$1:$D$9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B5CF6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13"/>
    <col customWidth="1" min="2" max="2" width="26.25"/>
    <col customWidth="1" min="3" max="3" width="344.63"/>
    <col customWidth="1" min="4" max="4" width="1357.0"/>
    <col customWidth="1" min="5" max="5" width="64.25"/>
  </cols>
  <sheetData>
    <row r="1">
      <c r="A1" s="61" t="s">
        <v>1806</v>
      </c>
      <c r="B1" s="61" t="s">
        <v>1807</v>
      </c>
      <c r="C1" s="61" t="s">
        <v>1808</v>
      </c>
      <c r="D1" s="61" t="s">
        <v>1809</v>
      </c>
      <c r="E1" s="61" t="s">
        <v>156</v>
      </c>
    </row>
    <row r="2">
      <c r="A2" s="3" t="s">
        <v>1810</v>
      </c>
      <c r="B2" s="2" t="s">
        <v>1811</v>
      </c>
      <c r="C2" s="2" t="s">
        <v>1812</v>
      </c>
      <c r="D2" s="2" t="s">
        <v>1813</v>
      </c>
      <c r="E2" s="2" t="s">
        <v>1814</v>
      </c>
    </row>
    <row r="3">
      <c r="A3" s="3" t="s">
        <v>1815</v>
      </c>
      <c r="B3" s="2" t="s">
        <v>1811</v>
      </c>
      <c r="C3" s="2" t="s">
        <v>1816</v>
      </c>
      <c r="D3" s="2" t="s">
        <v>1817</v>
      </c>
      <c r="E3" s="2" t="s">
        <v>1814</v>
      </c>
    </row>
    <row r="4">
      <c r="A4" s="3" t="s">
        <v>1818</v>
      </c>
      <c r="B4" s="2" t="s">
        <v>1811</v>
      </c>
      <c r="C4" s="2" t="s">
        <v>1812</v>
      </c>
      <c r="D4" s="2" t="s">
        <v>1819</v>
      </c>
      <c r="E4" s="2" t="s">
        <v>1820</v>
      </c>
    </row>
    <row r="5">
      <c r="A5" s="3" t="s">
        <v>1821</v>
      </c>
      <c r="B5" s="2" t="s">
        <v>1811</v>
      </c>
      <c r="C5" s="2" t="s">
        <v>1816</v>
      </c>
      <c r="D5" s="2" t="s">
        <v>1822</v>
      </c>
      <c r="E5" s="2" t="s">
        <v>1820</v>
      </c>
    </row>
    <row r="6">
      <c r="A6" s="3" t="s">
        <v>1823</v>
      </c>
      <c r="B6" s="2" t="s">
        <v>1811</v>
      </c>
      <c r="C6" s="2" t="s">
        <v>1812</v>
      </c>
      <c r="D6" s="2" t="s">
        <v>1824</v>
      </c>
      <c r="E6" s="2" t="s">
        <v>1825</v>
      </c>
    </row>
    <row r="7">
      <c r="A7" s="3" t="s">
        <v>1826</v>
      </c>
      <c r="B7" s="2" t="s">
        <v>1811</v>
      </c>
      <c r="C7" s="2" t="s">
        <v>1816</v>
      </c>
      <c r="D7" s="2" t="s">
        <v>1822</v>
      </c>
      <c r="E7" s="2" t="s">
        <v>1825</v>
      </c>
    </row>
    <row r="8">
      <c r="A8" s="3" t="s">
        <v>1827</v>
      </c>
      <c r="B8" s="2" t="s">
        <v>1811</v>
      </c>
      <c r="C8" s="2" t="s">
        <v>1816</v>
      </c>
      <c r="D8" s="2" t="s">
        <v>1822</v>
      </c>
      <c r="E8" s="2" t="s">
        <v>1825</v>
      </c>
    </row>
    <row r="9">
      <c r="A9" s="3" t="s">
        <v>1828</v>
      </c>
      <c r="B9" s="2" t="s">
        <v>1811</v>
      </c>
      <c r="C9" s="2" t="s">
        <v>1812</v>
      </c>
      <c r="D9" s="2" t="s">
        <v>1829</v>
      </c>
      <c r="E9" s="2" t="s">
        <v>1830</v>
      </c>
    </row>
    <row r="10">
      <c r="A10" s="3" t="s">
        <v>1831</v>
      </c>
      <c r="B10" s="2" t="s">
        <v>1811</v>
      </c>
      <c r="C10" s="2" t="s">
        <v>1816</v>
      </c>
      <c r="D10" s="2" t="s">
        <v>1822</v>
      </c>
      <c r="E10" s="2" t="s">
        <v>1830</v>
      </c>
    </row>
    <row r="11">
      <c r="A11" s="3" t="s">
        <v>1832</v>
      </c>
      <c r="B11" s="2" t="s">
        <v>1811</v>
      </c>
      <c r="C11" s="2" t="s">
        <v>1812</v>
      </c>
      <c r="D11" s="2" t="s">
        <v>1833</v>
      </c>
      <c r="E11" s="2" t="s">
        <v>1788</v>
      </c>
    </row>
    <row r="12">
      <c r="A12" s="3" t="s">
        <v>1834</v>
      </c>
      <c r="B12" s="2" t="s">
        <v>1811</v>
      </c>
      <c r="C12" s="2" t="s">
        <v>1816</v>
      </c>
      <c r="D12" s="2" t="s">
        <v>1822</v>
      </c>
      <c r="E12" s="2" t="s">
        <v>1788</v>
      </c>
    </row>
    <row r="13">
      <c r="A13" s="3" t="s">
        <v>1835</v>
      </c>
      <c r="B13" s="2" t="s">
        <v>1811</v>
      </c>
      <c r="C13" s="2" t="s">
        <v>1816</v>
      </c>
      <c r="D13" s="2" t="s">
        <v>1836</v>
      </c>
      <c r="E13" s="2" t="s">
        <v>1837</v>
      </c>
    </row>
    <row r="14">
      <c r="A14" s="3" t="s">
        <v>1838</v>
      </c>
      <c r="B14" s="2" t="s">
        <v>1811</v>
      </c>
      <c r="C14" s="2" t="s">
        <v>1816</v>
      </c>
      <c r="D14" s="2" t="s">
        <v>1836</v>
      </c>
      <c r="E14" s="2" t="s">
        <v>1837</v>
      </c>
    </row>
    <row r="15">
      <c r="A15" s="3" t="s">
        <v>1839</v>
      </c>
      <c r="B15" s="2" t="s">
        <v>1811</v>
      </c>
      <c r="C15" s="2" t="s">
        <v>1816</v>
      </c>
      <c r="D15" s="2" t="s">
        <v>1836</v>
      </c>
      <c r="E15" s="2" t="s">
        <v>1837</v>
      </c>
    </row>
    <row r="16">
      <c r="A16" s="3" t="s">
        <v>1840</v>
      </c>
      <c r="B16" s="2" t="s">
        <v>1811</v>
      </c>
      <c r="C16" s="2" t="s">
        <v>1841</v>
      </c>
      <c r="D16" s="2" t="s">
        <v>1842</v>
      </c>
      <c r="E16" s="2" t="s">
        <v>1837</v>
      </c>
    </row>
    <row r="17">
      <c r="A17" s="3" t="s">
        <v>1843</v>
      </c>
      <c r="B17" s="2" t="s">
        <v>1811</v>
      </c>
      <c r="C17" s="2" t="s">
        <v>1844</v>
      </c>
      <c r="D17" s="2" t="s">
        <v>1845</v>
      </c>
      <c r="E17" s="2" t="s">
        <v>1846</v>
      </c>
    </row>
    <row r="18">
      <c r="A18" s="3" t="s">
        <v>1847</v>
      </c>
      <c r="B18" s="2" t="s">
        <v>1811</v>
      </c>
      <c r="C18" s="2" t="s">
        <v>1844</v>
      </c>
      <c r="D18" s="2" t="s">
        <v>1848</v>
      </c>
      <c r="E18" s="2" t="s">
        <v>1849</v>
      </c>
    </row>
    <row r="19">
      <c r="A19" s="3" t="s">
        <v>1850</v>
      </c>
      <c r="B19" s="2" t="s">
        <v>1811</v>
      </c>
      <c r="C19" s="2" t="s">
        <v>1844</v>
      </c>
      <c r="D19" s="2" t="s">
        <v>1848</v>
      </c>
      <c r="E19" s="2" t="s">
        <v>1849</v>
      </c>
    </row>
    <row r="20">
      <c r="A20" s="3" t="s">
        <v>1851</v>
      </c>
      <c r="B20" s="2" t="s">
        <v>1811</v>
      </c>
      <c r="C20" s="2" t="s">
        <v>1852</v>
      </c>
      <c r="D20" s="2" t="s">
        <v>1853</v>
      </c>
      <c r="E20" s="2" t="s">
        <v>1849</v>
      </c>
    </row>
    <row r="21">
      <c r="A21" s="3" t="s">
        <v>1854</v>
      </c>
      <c r="B21" s="2" t="s">
        <v>1811</v>
      </c>
      <c r="C21" s="2" t="s">
        <v>1844</v>
      </c>
      <c r="D21" s="2" t="s">
        <v>1848</v>
      </c>
      <c r="E21" s="2" t="s">
        <v>1849</v>
      </c>
    </row>
    <row r="22">
      <c r="A22" s="3" t="s">
        <v>1855</v>
      </c>
      <c r="B22" s="2" t="s">
        <v>1811</v>
      </c>
      <c r="C22" s="2" t="s">
        <v>1852</v>
      </c>
      <c r="D22" s="2" t="s">
        <v>1853</v>
      </c>
      <c r="E22" s="2" t="s">
        <v>1849</v>
      </c>
    </row>
    <row r="23">
      <c r="A23" s="3" t="s">
        <v>1856</v>
      </c>
      <c r="B23" s="2" t="s">
        <v>1811</v>
      </c>
      <c r="C23" s="2" t="s">
        <v>1844</v>
      </c>
      <c r="D23" s="2" t="s">
        <v>1848</v>
      </c>
      <c r="E23" s="2" t="s">
        <v>1849</v>
      </c>
    </row>
    <row r="24">
      <c r="A24" s="3" t="s">
        <v>1857</v>
      </c>
      <c r="B24" s="2" t="s">
        <v>1811</v>
      </c>
      <c r="C24" s="2" t="s">
        <v>1852</v>
      </c>
      <c r="D24" s="2" t="s">
        <v>1853</v>
      </c>
      <c r="E24" s="2" t="s">
        <v>1849</v>
      </c>
    </row>
    <row r="25">
      <c r="A25" s="3" t="s">
        <v>1858</v>
      </c>
      <c r="B25" s="2" t="s">
        <v>1811</v>
      </c>
      <c r="C25" s="2" t="s">
        <v>1844</v>
      </c>
      <c r="D25" s="2" t="s">
        <v>1848</v>
      </c>
      <c r="E25" s="2" t="s">
        <v>1849</v>
      </c>
    </row>
    <row r="26">
      <c r="A26" s="3" t="s">
        <v>1859</v>
      </c>
      <c r="B26" s="2" t="s">
        <v>1811</v>
      </c>
      <c r="C26" s="2" t="s">
        <v>1852</v>
      </c>
      <c r="D26" s="2" t="s">
        <v>1853</v>
      </c>
      <c r="E26" s="2" t="s">
        <v>1849</v>
      </c>
    </row>
    <row r="27">
      <c r="A27" s="3" t="s">
        <v>1860</v>
      </c>
      <c r="B27" s="2" t="s">
        <v>1811</v>
      </c>
      <c r="C27" s="2" t="s">
        <v>1844</v>
      </c>
      <c r="D27" s="2" t="s">
        <v>1848</v>
      </c>
      <c r="E27" s="2" t="s">
        <v>1849</v>
      </c>
    </row>
    <row r="28">
      <c r="A28" s="3" t="s">
        <v>1861</v>
      </c>
      <c r="B28" s="2" t="s">
        <v>1811</v>
      </c>
      <c r="C28" s="2" t="s">
        <v>1852</v>
      </c>
      <c r="D28" s="2" t="s">
        <v>1853</v>
      </c>
      <c r="E28" s="2" t="s">
        <v>1849</v>
      </c>
    </row>
    <row r="29">
      <c r="A29" s="3" t="s">
        <v>1862</v>
      </c>
      <c r="B29" s="2" t="s">
        <v>1811</v>
      </c>
      <c r="C29" s="2" t="s">
        <v>1863</v>
      </c>
      <c r="D29" s="2" t="s">
        <v>1864</v>
      </c>
      <c r="E29" s="2" t="s">
        <v>1865</v>
      </c>
    </row>
    <row r="30">
      <c r="A30" s="3" t="s">
        <v>1866</v>
      </c>
      <c r="B30" s="2" t="s">
        <v>1811</v>
      </c>
      <c r="C30" s="2" t="s">
        <v>1863</v>
      </c>
      <c r="D30" s="2" t="s">
        <v>1867</v>
      </c>
      <c r="E30" s="2" t="s">
        <v>1868</v>
      </c>
    </row>
    <row r="31">
      <c r="A31" s="3" t="s">
        <v>1869</v>
      </c>
      <c r="B31" s="2" t="s">
        <v>1811</v>
      </c>
      <c r="C31" s="2" t="s">
        <v>1863</v>
      </c>
      <c r="D31" s="2" t="s">
        <v>1870</v>
      </c>
      <c r="E31" s="2" t="s">
        <v>1871</v>
      </c>
    </row>
    <row r="32">
      <c r="A32" s="3" t="s">
        <v>1872</v>
      </c>
      <c r="B32" s="2" t="s">
        <v>1811</v>
      </c>
      <c r="C32" s="2" t="s">
        <v>1863</v>
      </c>
      <c r="D32" s="2" t="s">
        <v>1873</v>
      </c>
      <c r="E32" s="2" t="s">
        <v>1784</v>
      </c>
    </row>
    <row r="33">
      <c r="A33" s="3">
        <v>46181.563393460645</v>
      </c>
      <c r="C33" s="2" t="s">
        <v>1874</v>
      </c>
      <c r="D33" s="2" t="s">
        <v>1875</v>
      </c>
      <c r="E33" s="2" t="s">
        <v>1876</v>
      </c>
    </row>
    <row r="34">
      <c r="A34" s="3">
        <v>46181.61348284722</v>
      </c>
      <c r="C34" s="2" t="s">
        <v>1874</v>
      </c>
      <c r="D34" s="2" t="s">
        <v>1877</v>
      </c>
      <c r="E34" s="2" t="s">
        <v>1878</v>
      </c>
    </row>
    <row r="35">
      <c r="A35" s="3">
        <v>46181.73144960648</v>
      </c>
      <c r="C35" s="2" t="s">
        <v>1879</v>
      </c>
      <c r="D35" s="2" t="s">
        <v>1880</v>
      </c>
      <c r="E35" s="2" t="s">
        <v>1881</v>
      </c>
    </row>
    <row r="36">
      <c r="A36" s="3">
        <v>46181.73689431713</v>
      </c>
      <c r="C36" s="2" t="s">
        <v>1879</v>
      </c>
      <c r="D36" s="2" t="s">
        <v>1882</v>
      </c>
      <c r="E36" s="2" t="s">
        <v>1881</v>
      </c>
    </row>
    <row r="37">
      <c r="A37" s="3">
        <v>46182.338593113425</v>
      </c>
      <c r="C37" s="2" t="s">
        <v>1879</v>
      </c>
      <c r="D37" s="2" t="s">
        <v>1883</v>
      </c>
      <c r="E37" s="2" t="s">
        <v>1884</v>
      </c>
    </row>
    <row r="38">
      <c r="A38" s="3">
        <v>46182.44141136574</v>
      </c>
      <c r="B38" s="2" t="s">
        <v>1885</v>
      </c>
      <c r="C38" s="2" t="s">
        <v>1886</v>
      </c>
      <c r="D38" s="2" t="s">
        <v>1887</v>
      </c>
    </row>
    <row r="39">
      <c r="A39" s="3">
        <v>46182.4440896875</v>
      </c>
      <c r="B39" s="2" t="s">
        <v>1888</v>
      </c>
      <c r="C39" s="2" t="s">
        <v>1889</v>
      </c>
      <c r="D39" s="2" t="s">
        <v>1890</v>
      </c>
    </row>
    <row r="40">
      <c r="A40" s="3">
        <v>46182.45164483796</v>
      </c>
      <c r="B40" s="2" t="s">
        <v>1891</v>
      </c>
      <c r="C40" s="2" t="s">
        <v>1892</v>
      </c>
      <c r="D40" s="2" t="s">
        <v>1804</v>
      </c>
    </row>
    <row r="41">
      <c r="A41" s="3">
        <v>46182.57300325231</v>
      </c>
      <c r="B41" s="2" t="s">
        <v>1893</v>
      </c>
      <c r="C41" s="2" t="s">
        <v>1811</v>
      </c>
      <c r="D41" s="2" t="s">
        <v>1894</v>
      </c>
      <c r="E41" s="2" t="s">
        <v>159</v>
      </c>
    </row>
    <row r="42">
      <c r="A42" s="3">
        <v>46184.48843003472</v>
      </c>
      <c r="C42" s="2" t="s">
        <v>1879</v>
      </c>
      <c r="D42" s="2" t="s">
        <v>1895</v>
      </c>
      <c r="E42" s="2" t="s">
        <v>1896</v>
      </c>
    </row>
    <row r="43">
      <c r="A43" s="3">
        <v>46185.433361828706</v>
      </c>
      <c r="C43" s="2" t="s">
        <v>1879</v>
      </c>
      <c r="D43" s="2" t="s">
        <v>1897</v>
      </c>
      <c r="E43" s="2" t="s">
        <v>995</v>
      </c>
    </row>
    <row r="44">
      <c r="A44" s="3">
        <v>46185.74963579861</v>
      </c>
      <c r="C44" s="2" t="s">
        <v>1898</v>
      </c>
      <c r="D44" s="2" t="s">
        <v>1899</v>
      </c>
      <c r="E44" s="2" t="s">
        <v>995</v>
      </c>
    </row>
    <row r="45">
      <c r="A45" s="3">
        <v>46185.7503380787</v>
      </c>
      <c r="C45" s="2" t="s">
        <v>1898</v>
      </c>
      <c r="D45" s="2" t="s">
        <v>1899</v>
      </c>
      <c r="E45" s="2" t="s">
        <v>995</v>
      </c>
    </row>
    <row r="46">
      <c r="A46" s="3">
        <v>46185.75460702546</v>
      </c>
      <c r="C46" s="2" t="s">
        <v>1898</v>
      </c>
      <c r="D46" s="2" t="s">
        <v>1899</v>
      </c>
      <c r="E46" s="2" t="s">
        <v>995</v>
      </c>
    </row>
    <row r="47">
      <c r="A47" s="3">
        <v>46185.75536362268</v>
      </c>
      <c r="C47" s="2" t="s">
        <v>1898</v>
      </c>
      <c r="D47" s="2" t="s">
        <v>1899</v>
      </c>
      <c r="E47" s="2" t="s">
        <v>995</v>
      </c>
    </row>
    <row r="48">
      <c r="A48" s="3">
        <v>46185.758705138884</v>
      </c>
      <c r="C48" s="2" t="s">
        <v>1879</v>
      </c>
      <c r="D48" s="2" t="s">
        <v>1900</v>
      </c>
      <c r="E48" s="2" t="s">
        <v>995</v>
      </c>
    </row>
    <row r="49">
      <c r="A49" s="3">
        <v>46185.84470756944</v>
      </c>
      <c r="C49" s="2" t="s">
        <v>1901</v>
      </c>
      <c r="D49" s="2" t="s">
        <v>1902</v>
      </c>
      <c r="E49" s="2" t="s">
        <v>995</v>
      </c>
    </row>
    <row r="50">
      <c r="A50" s="3">
        <v>46185.84491284723</v>
      </c>
      <c r="C50" s="2" t="s">
        <v>1903</v>
      </c>
      <c r="D50" s="2" t="s">
        <v>1904</v>
      </c>
      <c r="E50" s="2" t="s">
        <v>995</v>
      </c>
    </row>
    <row r="51">
      <c r="A51" s="3">
        <v>46185.86706956019</v>
      </c>
      <c r="C51" s="2" t="s">
        <v>1879</v>
      </c>
      <c r="D51" s="2" t="s">
        <v>1905</v>
      </c>
      <c r="E51" s="2" t="s">
        <v>995</v>
      </c>
    </row>
    <row r="52">
      <c r="A52" s="3">
        <v>46185.86836393518</v>
      </c>
      <c r="C52" s="2" t="s">
        <v>1879</v>
      </c>
      <c r="D52" s="2" t="s">
        <v>1906</v>
      </c>
      <c r="E52" s="2" t="s">
        <v>995</v>
      </c>
    </row>
    <row r="53">
      <c r="A53" s="3">
        <v>46185.86998379629</v>
      </c>
      <c r="C53" s="2" t="s">
        <v>1879</v>
      </c>
      <c r="D53" s="2" t="s">
        <v>1907</v>
      </c>
      <c r="E53" s="2" t="s">
        <v>995</v>
      </c>
    </row>
    <row r="54">
      <c r="A54" s="10">
        <v>46185.885526655096</v>
      </c>
      <c r="C54" s="2" t="s">
        <v>1908</v>
      </c>
      <c r="D54" s="2" t="s">
        <v>1909</v>
      </c>
      <c r="E54" s="2" t="s">
        <v>995</v>
      </c>
    </row>
    <row r="55">
      <c r="A55" s="10">
        <v>46186.390646493055</v>
      </c>
      <c r="C55" s="2" t="s">
        <v>1874</v>
      </c>
      <c r="D55" s="2" t="s">
        <v>1910</v>
      </c>
      <c r="E55" s="2" t="s">
        <v>995</v>
      </c>
    </row>
    <row r="56">
      <c r="A56" s="10">
        <v>46186.43186320602</v>
      </c>
      <c r="C56" s="2" t="s">
        <v>1874</v>
      </c>
      <c r="D56" s="2" t="s">
        <v>1911</v>
      </c>
      <c r="E56" s="2" t="s">
        <v>995</v>
      </c>
    </row>
    <row r="57">
      <c r="A57" s="10">
        <v>46186.45439474537</v>
      </c>
      <c r="C57" s="2" t="s">
        <v>1874</v>
      </c>
      <c r="D57" s="2" t="s">
        <v>1912</v>
      </c>
      <c r="E57" s="2" t="s">
        <v>995</v>
      </c>
    </row>
    <row r="58">
      <c r="A58" s="10">
        <v>46186.457110393516</v>
      </c>
      <c r="C58" s="2" t="s">
        <v>1874</v>
      </c>
      <c r="D58" s="2" t="s">
        <v>1913</v>
      </c>
      <c r="E58" s="2" t="s">
        <v>995</v>
      </c>
    </row>
    <row r="59">
      <c r="A59" s="10">
        <v>46187.6384346875</v>
      </c>
      <c r="C59" s="2" t="s">
        <v>1914</v>
      </c>
      <c r="D59" s="2" t="s">
        <v>1915</v>
      </c>
      <c r="E59" s="2" t="s">
        <v>995</v>
      </c>
    </row>
    <row r="60">
      <c r="A60" s="10">
        <v>46187.64339094907</v>
      </c>
      <c r="C60" s="2" t="s">
        <v>1914</v>
      </c>
      <c r="D60" s="2" t="s">
        <v>1916</v>
      </c>
      <c r="E60" s="2" t="s">
        <v>995</v>
      </c>
    </row>
    <row r="61">
      <c r="A61" s="10">
        <v>46187.66427393518</v>
      </c>
      <c r="C61" s="2" t="s">
        <v>1917</v>
      </c>
      <c r="D61" s="2" t="s">
        <v>1918</v>
      </c>
      <c r="E61" s="2" t="s">
        <v>995</v>
      </c>
    </row>
    <row r="62">
      <c r="A62" s="10">
        <v>46189.498935972224</v>
      </c>
      <c r="C62" s="2" t="s">
        <v>1917</v>
      </c>
      <c r="D62" s="2" t="s">
        <v>1919</v>
      </c>
      <c r="E62" s="2" t="s">
        <v>995</v>
      </c>
    </row>
    <row r="63">
      <c r="A63" s="10">
        <v>46189.64482091436</v>
      </c>
      <c r="C63" s="2" t="s">
        <v>1898</v>
      </c>
      <c r="D63" s="2" t="s">
        <v>1899</v>
      </c>
      <c r="E63" s="2" t="s">
        <v>995</v>
      </c>
    </row>
    <row r="64">
      <c r="A64" s="10">
        <v>46189.645277800926</v>
      </c>
      <c r="C64" s="2" t="s">
        <v>1898</v>
      </c>
      <c r="D64" s="2" t="s">
        <v>1899</v>
      </c>
      <c r="E64" s="2" t="s">
        <v>995</v>
      </c>
    </row>
    <row r="65">
      <c r="A65" s="10">
        <v>46191.537367453704</v>
      </c>
      <c r="C65" s="2" t="s">
        <v>1917</v>
      </c>
      <c r="D65" s="2" t="s">
        <v>1920</v>
      </c>
      <c r="E65" s="2" t="s">
        <v>995</v>
      </c>
    </row>
    <row r="66">
      <c r="A66" s="10">
        <v>46191.55820503472</v>
      </c>
      <c r="C66" s="2" t="s">
        <v>1917</v>
      </c>
      <c r="D66" s="2" t="s">
        <v>1921</v>
      </c>
      <c r="E66" s="2" t="s">
        <v>995</v>
      </c>
    </row>
    <row r="67">
      <c r="A67" s="10">
        <v>46191.564119884264</v>
      </c>
      <c r="C67" s="2" t="s">
        <v>1917</v>
      </c>
      <c r="D67" s="2" t="s">
        <v>1922</v>
      </c>
      <c r="E67" s="2" t="s">
        <v>995</v>
      </c>
    </row>
    <row r="68">
      <c r="A68" s="10">
        <v>46191.5644944213</v>
      </c>
      <c r="C68" s="2" t="s">
        <v>1917</v>
      </c>
      <c r="D68" s="2" t="s">
        <v>1922</v>
      </c>
      <c r="E68" s="2" t="s">
        <v>995</v>
      </c>
    </row>
    <row r="69">
      <c r="A69" s="10">
        <v>46191.57493949074</v>
      </c>
      <c r="C69" s="2" t="s">
        <v>1898</v>
      </c>
      <c r="D69" s="2" t="s">
        <v>1899</v>
      </c>
      <c r="E69" s="2" t="s">
        <v>995</v>
      </c>
    </row>
    <row r="70">
      <c r="A70" s="10">
        <v>46191.58811996528</v>
      </c>
      <c r="C70" s="2" t="s">
        <v>1898</v>
      </c>
      <c r="D70" s="2" t="s">
        <v>1899</v>
      </c>
      <c r="E70" s="2" t="s">
        <v>995</v>
      </c>
    </row>
    <row r="71">
      <c r="A71" s="10">
        <v>46191.588390185185</v>
      </c>
      <c r="C71" s="2" t="s">
        <v>1917</v>
      </c>
      <c r="D71" s="2" t="s">
        <v>1923</v>
      </c>
      <c r="E71" s="2" t="s">
        <v>995</v>
      </c>
    </row>
    <row r="72">
      <c r="A72" s="10">
        <v>46191.58999936342</v>
      </c>
      <c r="C72" s="2" t="s">
        <v>1917</v>
      </c>
      <c r="D72" s="2" t="s">
        <v>1922</v>
      </c>
      <c r="E72" s="2" t="s">
        <v>995</v>
      </c>
    </row>
    <row r="73">
      <c r="A73" s="10">
        <v>46191.59486871528</v>
      </c>
      <c r="C73" s="2" t="s">
        <v>1898</v>
      </c>
      <c r="D73" s="2" t="s">
        <v>1899</v>
      </c>
      <c r="E73" s="2" t="s">
        <v>995</v>
      </c>
    </row>
    <row r="74">
      <c r="A74" s="10">
        <v>46191.59942429398</v>
      </c>
      <c r="C74" s="2" t="s">
        <v>1898</v>
      </c>
      <c r="D74" s="2" t="s">
        <v>1899</v>
      </c>
      <c r="E74" s="2" t="s">
        <v>995</v>
      </c>
    </row>
    <row r="75">
      <c r="A75" s="10">
        <v>46191.60337197917</v>
      </c>
      <c r="C75" s="2" t="s">
        <v>1898</v>
      </c>
      <c r="D75" s="2" t="s">
        <v>1899</v>
      </c>
      <c r="E75" s="2" t="s">
        <v>995</v>
      </c>
    </row>
    <row r="76">
      <c r="A76" s="10">
        <v>46191.60602766204</v>
      </c>
      <c r="C76" s="2" t="s">
        <v>1917</v>
      </c>
      <c r="D76" s="2" t="s">
        <v>1924</v>
      </c>
      <c r="E76" s="2" t="s">
        <v>995</v>
      </c>
    </row>
    <row r="77">
      <c r="A77" s="10">
        <v>46191.606758194444</v>
      </c>
      <c r="C77" s="2" t="s">
        <v>1917</v>
      </c>
      <c r="D77" s="2" t="s">
        <v>1925</v>
      </c>
      <c r="E77" s="2" t="s">
        <v>995</v>
      </c>
    </row>
    <row r="78">
      <c r="A78" s="10">
        <v>46191.60703009259</v>
      </c>
      <c r="C78" s="2" t="s">
        <v>1917</v>
      </c>
      <c r="D78" s="2" t="s">
        <v>1925</v>
      </c>
      <c r="E78" s="2" t="s">
        <v>995</v>
      </c>
    </row>
    <row r="79">
      <c r="A79" s="10">
        <v>46191.60740444444</v>
      </c>
      <c r="C79" s="2" t="s">
        <v>1917</v>
      </c>
      <c r="D79" s="2" t="s">
        <v>1926</v>
      </c>
      <c r="E79" s="2" t="s">
        <v>995</v>
      </c>
    </row>
    <row r="80">
      <c r="A80" s="10">
        <v>46191.60785167824</v>
      </c>
      <c r="C80" s="2" t="s">
        <v>1917</v>
      </c>
      <c r="D80" s="2" t="s">
        <v>1926</v>
      </c>
      <c r="E80" s="2" t="s">
        <v>995</v>
      </c>
    </row>
    <row r="81">
      <c r="A81" s="10">
        <v>46191.60887672454</v>
      </c>
      <c r="C81" s="2" t="s">
        <v>1898</v>
      </c>
      <c r="D81" s="2" t="s">
        <v>1899</v>
      </c>
      <c r="E81" s="2" t="s">
        <v>995</v>
      </c>
    </row>
    <row r="82">
      <c r="A82" s="10">
        <v>46191.62167741898</v>
      </c>
      <c r="C82" s="2" t="s">
        <v>1927</v>
      </c>
      <c r="D82" s="2" t="s">
        <v>1928</v>
      </c>
      <c r="E82" s="2" t="s">
        <v>995</v>
      </c>
    </row>
    <row r="83">
      <c r="A83" s="10">
        <v>46191.626903553246</v>
      </c>
      <c r="C83" s="2" t="s">
        <v>1927</v>
      </c>
      <c r="D83" s="2" t="s">
        <v>1929</v>
      </c>
      <c r="E83" s="2" t="s">
        <v>995</v>
      </c>
    </row>
    <row r="84">
      <c r="A84" s="10">
        <v>46191.640353483795</v>
      </c>
      <c r="C84" s="2" t="s">
        <v>1927</v>
      </c>
      <c r="D84" s="2" t="s">
        <v>1930</v>
      </c>
      <c r="E84" s="2" t="s">
        <v>995</v>
      </c>
    </row>
    <row r="85">
      <c r="A85" s="10">
        <v>46191.64053741898</v>
      </c>
      <c r="C85" s="2" t="s">
        <v>1927</v>
      </c>
      <c r="D85" s="2" t="s">
        <v>1931</v>
      </c>
      <c r="E85" s="2" t="s">
        <v>995</v>
      </c>
    </row>
    <row r="86">
      <c r="A86" s="10">
        <v>46191.93584253472</v>
      </c>
      <c r="C86" s="2" t="s">
        <v>1874</v>
      </c>
      <c r="D86" s="2" t="s">
        <v>1932</v>
      </c>
      <c r="E86" s="2" t="s">
        <v>995</v>
      </c>
    </row>
    <row r="87">
      <c r="A87" s="10">
        <v>46191.93610127315</v>
      </c>
      <c r="C87" s="2" t="s">
        <v>1927</v>
      </c>
      <c r="D87" s="2" t="s">
        <v>1933</v>
      </c>
      <c r="E87" s="2" t="s">
        <v>995</v>
      </c>
    </row>
    <row r="88">
      <c r="A88" s="10">
        <v>46191.95499672454</v>
      </c>
      <c r="C88" s="2" t="s">
        <v>1898</v>
      </c>
      <c r="D88" s="2" t="s">
        <v>1899</v>
      </c>
      <c r="E88" s="2" t="s">
        <v>995</v>
      </c>
    </row>
    <row r="89">
      <c r="A89" s="10">
        <v>46191.958722696756</v>
      </c>
      <c r="C89" s="2" t="s">
        <v>1927</v>
      </c>
      <c r="D89" s="2" t="s">
        <v>1934</v>
      </c>
      <c r="E89" s="2" t="s">
        <v>995</v>
      </c>
    </row>
    <row r="90">
      <c r="A90" s="10">
        <v>46191.95892858796</v>
      </c>
      <c r="C90" s="2" t="s">
        <v>1927</v>
      </c>
      <c r="D90" s="2" t="s">
        <v>1935</v>
      </c>
      <c r="E90" s="2" t="s">
        <v>995</v>
      </c>
    </row>
    <row r="91">
      <c r="A91" s="10">
        <v>46192.37678931713</v>
      </c>
      <c r="C91" s="2" t="s">
        <v>1898</v>
      </c>
      <c r="D91" s="2" t="s">
        <v>1899</v>
      </c>
      <c r="E91" s="2" t="s">
        <v>1936</v>
      </c>
    </row>
    <row r="92">
      <c r="A92" s="10">
        <v>46192.377169872685</v>
      </c>
      <c r="C92" s="2" t="s">
        <v>1898</v>
      </c>
      <c r="D92" s="2" t="s">
        <v>1899</v>
      </c>
      <c r="E92" s="2" t="s">
        <v>1936</v>
      </c>
    </row>
    <row r="93">
      <c r="A93" s="10">
        <v>46192.999414907405</v>
      </c>
      <c r="C93" s="2" t="s">
        <v>1937</v>
      </c>
      <c r="D93" s="2" t="s">
        <v>1938</v>
      </c>
      <c r="E93" s="2" t="s">
        <v>1939</v>
      </c>
    </row>
    <row r="94">
      <c r="A94" s="10">
        <v>46193.99943422453</v>
      </c>
      <c r="C94" s="2" t="s">
        <v>1937</v>
      </c>
      <c r="D94" s="2" t="s">
        <v>1940</v>
      </c>
      <c r="E94" s="2" t="s">
        <v>1939</v>
      </c>
    </row>
    <row r="95">
      <c r="A95" s="10">
        <v>46194.53355101852</v>
      </c>
      <c r="C95" s="2" t="s">
        <v>1898</v>
      </c>
      <c r="D95" s="2" t="s">
        <v>1899</v>
      </c>
      <c r="E95" s="2" t="s">
        <v>1941</v>
      </c>
    </row>
    <row r="96">
      <c r="A96" s="10">
        <v>46194.534095173614</v>
      </c>
      <c r="C96" s="2" t="s">
        <v>1898</v>
      </c>
      <c r="D96" s="2" t="s">
        <v>1899</v>
      </c>
      <c r="E96" s="2" t="s">
        <v>1941</v>
      </c>
    </row>
    <row r="97">
      <c r="A97" s="10">
        <v>46194.535809479166</v>
      </c>
      <c r="C97" s="2" t="s">
        <v>1898</v>
      </c>
      <c r="D97" s="2" t="s">
        <v>1899</v>
      </c>
      <c r="E97" s="2" t="s">
        <v>1941</v>
      </c>
    </row>
    <row r="98">
      <c r="A98" s="10">
        <v>46194.56562238426</v>
      </c>
      <c r="C98" s="2" t="s">
        <v>1898</v>
      </c>
      <c r="D98" s="2" t="s">
        <v>1899</v>
      </c>
      <c r="E98" s="2" t="s">
        <v>1941</v>
      </c>
    </row>
    <row r="99">
      <c r="A99" s="10">
        <v>46194.70777263889</v>
      </c>
      <c r="C99" s="2" t="s">
        <v>1898</v>
      </c>
      <c r="D99" s="2" t="s">
        <v>1899</v>
      </c>
      <c r="E99" s="2" t="s">
        <v>1941</v>
      </c>
    </row>
    <row r="100">
      <c r="A100" s="10">
        <v>46194.99940392361</v>
      </c>
      <c r="C100" s="2" t="s">
        <v>1937</v>
      </c>
      <c r="D100" s="2" t="s">
        <v>1942</v>
      </c>
      <c r="E100" s="2" t="s">
        <v>1939</v>
      </c>
    </row>
    <row r="101">
      <c r="A101" s="10">
        <v>46195.43044403935</v>
      </c>
      <c r="C101" s="2" t="s">
        <v>1898</v>
      </c>
      <c r="D101" s="2" t="s">
        <v>1899</v>
      </c>
      <c r="E101" s="2" t="s">
        <v>1943</v>
      </c>
    </row>
    <row r="102">
      <c r="A102" s="10">
        <v>46195.44016168981</v>
      </c>
      <c r="C102" s="2" t="s">
        <v>1898</v>
      </c>
      <c r="D102" s="2" t="s">
        <v>1899</v>
      </c>
      <c r="E102" s="2" t="s">
        <v>1943</v>
      </c>
    </row>
    <row r="103">
      <c r="A103" s="10">
        <v>46195.999436701386</v>
      </c>
      <c r="C103" s="2" t="s">
        <v>1937</v>
      </c>
      <c r="D103" s="2" t="s">
        <v>1944</v>
      </c>
      <c r="E103" s="2" t="s">
        <v>1939</v>
      </c>
    </row>
    <row r="104">
      <c r="A104" s="10">
        <v>46196.99951704861</v>
      </c>
      <c r="C104" s="2" t="s">
        <v>1937</v>
      </c>
      <c r="D104" s="2" t="s">
        <v>1945</v>
      </c>
      <c r="E104" s="2" t="s">
        <v>1939</v>
      </c>
    </row>
    <row r="105">
      <c r="A105" s="10">
        <v>46197.99939019676</v>
      </c>
      <c r="C105" s="2" t="s">
        <v>1937</v>
      </c>
      <c r="D105" s="2" t="s">
        <v>1946</v>
      </c>
      <c r="E105" s="2" t="s">
        <v>1939</v>
      </c>
    </row>
    <row r="106">
      <c r="A106" s="10">
        <v>46198.398320057866</v>
      </c>
      <c r="C106" s="2" t="s">
        <v>1927</v>
      </c>
      <c r="D106" s="2" t="s">
        <v>1947</v>
      </c>
      <c r="E106" s="2" t="s">
        <v>1948</v>
      </c>
    </row>
    <row r="107">
      <c r="A107" s="10">
        <v>46198.40478621528</v>
      </c>
      <c r="C107" s="2" t="s">
        <v>1898</v>
      </c>
      <c r="D107" s="2" t="s">
        <v>1899</v>
      </c>
      <c r="E107" s="2" t="s">
        <v>1948</v>
      </c>
    </row>
    <row r="108">
      <c r="A108" s="10">
        <v>46198.57944770833</v>
      </c>
      <c r="C108" s="2" t="s">
        <v>1898</v>
      </c>
      <c r="D108" s="2" t="s">
        <v>1899</v>
      </c>
      <c r="E108" s="2" t="s">
        <v>1948</v>
      </c>
    </row>
    <row r="109">
      <c r="A109" s="10">
        <v>46198.99938971065</v>
      </c>
      <c r="C109" s="2" t="s">
        <v>1937</v>
      </c>
      <c r="D109" s="2" t="s">
        <v>1949</v>
      </c>
      <c r="E109" s="2" t="s">
        <v>1939</v>
      </c>
    </row>
    <row r="110">
      <c r="A110" s="10">
        <v>46199.38659363426</v>
      </c>
      <c r="C110" s="2" t="s">
        <v>1898</v>
      </c>
      <c r="D110" s="2" t="s">
        <v>1899</v>
      </c>
      <c r="E110" s="2" t="s">
        <v>1948</v>
      </c>
    </row>
    <row r="111">
      <c r="A111" s="10">
        <v>46199.999401203706</v>
      </c>
      <c r="C111" s="2" t="s">
        <v>1937</v>
      </c>
      <c r="D111" s="2" t="s">
        <v>1950</v>
      </c>
      <c r="E111" s="2" t="s">
        <v>1939</v>
      </c>
    </row>
    <row r="112">
      <c r="A112" s="10">
        <v>46200.99938407408</v>
      </c>
      <c r="C112" s="2" t="s">
        <v>1937</v>
      </c>
      <c r="D112" s="2" t="s">
        <v>1951</v>
      </c>
      <c r="E112" s="2" t="s">
        <v>1939</v>
      </c>
    </row>
    <row r="113">
      <c r="A113" s="10">
        <v>46201.42370313658</v>
      </c>
      <c r="C113" s="2" t="s">
        <v>1898</v>
      </c>
      <c r="D113" s="2" t="s">
        <v>1899</v>
      </c>
      <c r="E113" s="2" t="s">
        <v>1948</v>
      </c>
    </row>
    <row r="114">
      <c r="A114" s="10">
        <v>46201.99942548611</v>
      </c>
      <c r="C114" s="2" t="s">
        <v>1937</v>
      </c>
      <c r="D114" s="2" t="s">
        <v>1952</v>
      </c>
      <c r="E114" s="2" t="s">
        <v>1939</v>
      </c>
    </row>
    <row r="115">
      <c r="A115" s="10">
        <v>46202.99939646991</v>
      </c>
      <c r="C115" s="2" t="s">
        <v>1937</v>
      </c>
      <c r="D115" s="2" t="s">
        <v>1953</v>
      </c>
      <c r="E115" s="2" t="s">
        <v>1939</v>
      </c>
    </row>
    <row r="116">
      <c r="A116" s="10">
        <v>46203.99951386574</v>
      </c>
      <c r="C116" s="2" t="s">
        <v>1937</v>
      </c>
      <c r="D116" s="2" t="s">
        <v>1954</v>
      </c>
      <c r="E116" s="2" t="s">
        <v>1939</v>
      </c>
    </row>
    <row r="117">
      <c r="A117" s="10">
        <v>46204.99937402778</v>
      </c>
      <c r="C117" s="2" t="s">
        <v>1937</v>
      </c>
      <c r="D117" s="2" t="s">
        <v>1955</v>
      </c>
      <c r="E117" s="2" t="s">
        <v>1939</v>
      </c>
    </row>
    <row r="118">
      <c r="A118" s="10">
        <v>46205.87583696759</v>
      </c>
      <c r="C118" s="2" t="s">
        <v>1874</v>
      </c>
      <c r="D118" s="2" t="s">
        <v>1956</v>
      </c>
      <c r="E118" s="2" t="s">
        <v>1948</v>
      </c>
    </row>
    <row r="119">
      <c r="A119" s="10">
        <v>46205.87705717592</v>
      </c>
      <c r="C119" s="2" t="s">
        <v>1898</v>
      </c>
      <c r="D119" s="2" t="s">
        <v>1899</v>
      </c>
      <c r="E119" s="2" t="s">
        <v>1948</v>
      </c>
    </row>
    <row r="120">
      <c r="A120" s="10">
        <v>46205.889689131945</v>
      </c>
      <c r="C120" s="2" t="s">
        <v>1879</v>
      </c>
      <c r="D120" s="2" t="s">
        <v>1957</v>
      </c>
      <c r="E120" s="2" t="s">
        <v>1948</v>
      </c>
    </row>
    <row r="121">
      <c r="A121" s="10">
        <v>46205.89087872685</v>
      </c>
      <c r="C121" s="2" t="s">
        <v>1898</v>
      </c>
      <c r="D121" s="2" t="s">
        <v>1899</v>
      </c>
      <c r="E121" s="2" t="s">
        <v>1948</v>
      </c>
    </row>
    <row r="122">
      <c r="A122" s="10">
        <v>46205.99942195602</v>
      </c>
      <c r="C122" s="2" t="s">
        <v>1937</v>
      </c>
      <c r="D122" s="2" t="s">
        <v>1958</v>
      </c>
      <c r="E122" s="2" t="s">
        <v>1939</v>
      </c>
    </row>
    <row r="123">
      <c r="A123" s="10">
        <v>46206.99938450231</v>
      </c>
      <c r="C123" s="2" t="s">
        <v>1937</v>
      </c>
      <c r="D123" s="2" t="s">
        <v>1959</v>
      </c>
      <c r="E123" s="2" t="s">
        <v>1939</v>
      </c>
    </row>
    <row r="124">
      <c r="A124" s="10">
        <v>46207.9993834375</v>
      </c>
      <c r="C124" s="2" t="s">
        <v>1937</v>
      </c>
      <c r="D124" s="2" t="s">
        <v>1960</v>
      </c>
      <c r="E124" s="2" t="s">
        <v>1939</v>
      </c>
    </row>
    <row r="125">
      <c r="A125" s="10">
        <v>46208.999419988424</v>
      </c>
      <c r="C125" s="2" t="s">
        <v>1937</v>
      </c>
      <c r="D125" s="2" t="s">
        <v>1961</v>
      </c>
      <c r="E125" s="2" t="s">
        <v>1939</v>
      </c>
    </row>
    <row r="126">
      <c r="A126" s="10">
        <v>46209.999399849534</v>
      </c>
      <c r="C126" s="2" t="s">
        <v>1937</v>
      </c>
      <c r="D126" s="2" t="s">
        <v>1962</v>
      </c>
      <c r="E126" s="2" t="s">
        <v>1939</v>
      </c>
    </row>
    <row r="127">
      <c r="A127" s="10">
        <v>46210.99955681713</v>
      </c>
      <c r="C127" s="2" t="s">
        <v>1937</v>
      </c>
      <c r="D127" s="2" t="s">
        <v>1963</v>
      </c>
      <c r="E127" s="2" t="s">
        <v>1939</v>
      </c>
    </row>
  </sheetData>
  <autoFilter ref="$A$1:$E$127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9.0"/>
    <col customWidth="1" min="2" max="2" width="10.0"/>
    <col customWidth="1" min="3" max="3" width="4.25"/>
    <col customWidth="1" min="4" max="4" width="7.63"/>
    <col customWidth="1" min="5" max="5" width="10.25"/>
    <col customWidth="1" min="6" max="6" width="20.88"/>
    <col customWidth="1" min="7" max="7" width="17.63"/>
    <col customWidth="1" min="8" max="8" width="9.63"/>
    <col customWidth="1" min="9" max="9" width="13.25"/>
    <col customWidth="1" min="10" max="10" width="10.25"/>
    <col customWidth="1" min="11" max="11" width="10.13"/>
    <col customWidth="1" min="12" max="12" width="9.63"/>
  </cols>
  <sheetData>
    <row r="1">
      <c r="A1" s="62" t="s">
        <v>161</v>
      </c>
      <c r="B1" s="63" t="s">
        <v>162</v>
      </c>
      <c r="C1" s="64" t="s">
        <v>163</v>
      </c>
      <c r="D1" s="65" t="s">
        <v>8</v>
      </c>
      <c r="E1" s="66" t="s">
        <v>164</v>
      </c>
      <c r="F1" s="64" t="s">
        <v>165</v>
      </c>
      <c r="G1" s="64" t="s">
        <v>10</v>
      </c>
      <c r="H1" s="66" t="s">
        <v>164</v>
      </c>
      <c r="I1" s="67" t="s">
        <v>10</v>
      </c>
      <c r="J1" s="66" t="s">
        <v>164</v>
      </c>
      <c r="K1" s="64" t="s">
        <v>166</v>
      </c>
      <c r="L1" s="66" t="s">
        <v>164</v>
      </c>
      <c r="M1" s="68"/>
      <c r="N1" s="68"/>
    </row>
    <row r="2">
      <c r="A2" s="69" t="s">
        <v>1964</v>
      </c>
      <c r="B2" s="70">
        <v>3753.0</v>
      </c>
      <c r="C2" s="71" t="s">
        <v>163</v>
      </c>
      <c r="D2" s="72">
        <v>3080.0</v>
      </c>
      <c r="E2" s="73">
        <f t="shared" ref="E2:E6" si="1">IF(OR(B2="", D2=""), 0, B2*D2)</f>
        <v>11559240</v>
      </c>
      <c r="F2" s="74" t="s">
        <v>169</v>
      </c>
      <c r="G2" s="75" t="str">
        <f>FIXED('Copy of harian'!B8, 0, FALSE) &amp; " x Rp 120"</f>
        <v>21.753 x Rp 120</v>
      </c>
      <c r="H2" s="76">
        <f t="shared" ref="H2:H3" si="2">IF(OR(G2="", G2="---", NOT(ISNUMBER(SEARCH(" x ", G2)))), 0, VALUE(SUBSTITUTE(LEFT(G2, SEARCH(" x ", G2)-1), ".", "")) * VALUE(MID(G2, SEARCH(" x ", G2)+3, LEN(G2))))</f>
        <v>2610360</v>
      </c>
      <c r="I2" s="77" t="s">
        <v>172</v>
      </c>
      <c r="J2" s="78">
        <v>1.4E7</v>
      </c>
      <c r="K2" s="79"/>
      <c r="L2" s="80"/>
      <c r="M2" s="81"/>
      <c r="N2" s="82"/>
    </row>
    <row r="3">
      <c r="A3" s="69"/>
      <c r="B3" s="83">
        <v>3194.0</v>
      </c>
      <c r="C3" s="84" t="s">
        <v>163</v>
      </c>
      <c r="D3" s="85">
        <v>3080.0</v>
      </c>
      <c r="E3" s="86">
        <f t="shared" si="1"/>
        <v>9837520</v>
      </c>
      <c r="F3" s="87" t="s">
        <v>176</v>
      </c>
      <c r="G3" s="88" t="str">
        <f>FIXED('Copy of harian'!B8, 0, FALSE) &amp; " x Rp 170"</f>
        <v>21.753 x Rp 170</v>
      </c>
      <c r="H3" s="89">
        <f t="shared" si="2"/>
        <v>3698010</v>
      </c>
      <c r="I3" s="90" t="s">
        <v>179</v>
      </c>
      <c r="J3" s="91">
        <f>E8</f>
        <v>66922800</v>
      </c>
      <c r="K3" s="92"/>
      <c r="L3" s="93"/>
      <c r="M3" s="81"/>
      <c r="N3" s="82"/>
    </row>
    <row r="4">
      <c r="A4" s="69"/>
      <c r="B4" s="70">
        <v>6230.0</v>
      </c>
      <c r="C4" s="71" t="s">
        <v>163</v>
      </c>
      <c r="D4" s="72">
        <v>3080.0</v>
      </c>
      <c r="E4" s="73">
        <f t="shared" si="1"/>
        <v>19188400</v>
      </c>
      <c r="F4" s="74" t="s">
        <v>1965</v>
      </c>
      <c r="G4" s="94"/>
      <c r="H4" s="95">
        <v>700000.0</v>
      </c>
      <c r="I4" s="77" t="s">
        <v>184</v>
      </c>
      <c r="J4" s="78">
        <f>IF(H18&gt;0, H18, "")</f>
        <v>31133370</v>
      </c>
      <c r="K4" s="79"/>
      <c r="L4" s="80"/>
      <c r="M4" s="81"/>
      <c r="N4" s="82"/>
    </row>
    <row r="5">
      <c r="A5" s="69"/>
      <c r="B5" s="83">
        <v>4754.0</v>
      </c>
      <c r="C5" s="84" t="s">
        <v>163</v>
      </c>
      <c r="D5" s="85">
        <v>3080.0</v>
      </c>
      <c r="E5" s="86">
        <f t="shared" si="1"/>
        <v>14642320</v>
      </c>
      <c r="F5" s="87" t="s">
        <v>188</v>
      </c>
      <c r="G5" s="96"/>
      <c r="H5" s="89">
        <v>250000.0</v>
      </c>
      <c r="I5" s="90" t="s">
        <v>166</v>
      </c>
      <c r="J5" s="91">
        <v>6000000.0</v>
      </c>
      <c r="K5" s="92"/>
      <c r="L5" s="93"/>
      <c r="M5" s="81"/>
      <c r="N5" s="82"/>
    </row>
    <row r="6">
      <c r="A6" s="69"/>
      <c r="B6" s="70">
        <v>3822.0</v>
      </c>
      <c r="C6" s="71" t="s">
        <v>163</v>
      </c>
      <c r="D6" s="72">
        <v>3060.0</v>
      </c>
      <c r="E6" s="73">
        <f t="shared" si="1"/>
        <v>11695320</v>
      </c>
      <c r="F6" s="97" t="s">
        <v>192</v>
      </c>
      <c r="G6" s="94" t="s">
        <v>193</v>
      </c>
      <c r="H6" s="95">
        <v>1.421E7</v>
      </c>
      <c r="I6" s="77" t="s">
        <v>195</v>
      </c>
      <c r="J6" s="78"/>
      <c r="K6" s="79"/>
      <c r="L6" s="80"/>
      <c r="M6" s="81"/>
      <c r="N6" s="82"/>
    </row>
    <row r="7">
      <c r="A7" s="69"/>
      <c r="B7" s="98"/>
      <c r="C7" s="84"/>
      <c r="D7" s="85"/>
      <c r="E7" s="86" t="str">
        <f>IF(OR(B7="", D7=""), "⏳", B7*D7)</f>
        <v>⏳</v>
      </c>
      <c r="F7" s="87" t="s">
        <v>1966</v>
      </c>
      <c r="G7" s="96"/>
      <c r="H7" s="89">
        <v>1400000.0</v>
      </c>
      <c r="I7" s="90"/>
      <c r="J7" s="91"/>
      <c r="K7" s="79"/>
      <c r="L7" s="80"/>
      <c r="M7" s="81"/>
      <c r="N7" s="82"/>
    </row>
    <row r="8">
      <c r="A8" s="69"/>
      <c r="B8" s="99">
        <f>SUBTOTAL(9, B2:B7)</f>
        <v>21753</v>
      </c>
      <c r="C8" s="100"/>
      <c r="D8" s="101"/>
      <c r="E8" s="102">
        <f>SUBTOTAL(9, E2:E7)</f>
        <v>66922800</v>
      </c>
      <c r="F8" s="74" t="s">
        <v>200</v>
      </c>
      <c r="G8" s="94"/>
      <c r="H8" s="95">
        <v>220000.0</v>
      </c>
      <c r="I8" s="103" t="s">
        <v>201</v>
      </c>
      <c r="J8" s="104">
        <f>IF(OR(B8=0, B8=""), 0, IFERROR(SUM(J2, J3, J6) - SUM(J4, J5) + J7, 0))</f>
        <v>43789430</v>
      </c>
      <c r="K8" s="79"/>
      <c r="L8" s="80"/>
      <c r="M8" s="81"/>
      <c r="N8" s="82"/>
    </row>
    <row r="9">
      <c r="A9" s="69"/>
      <c r="B9" s="105"/>
      <c r="F9" s="87" t="s">
        <v>203</v>
      </c>
      <c r="G9" s="96"/>
      <c r="H9" s="89">
        <v>4715000.0</v>
      </c>
      <c r="I9" s="106" t="s">
        <v>205</v>
      </c>
      <c r="J9" s="107">
        <v>4.378943E7</v>
      </c>
      <c r="K9" s="79"/>
      <c r="L9" s="80"/>
      <c r="M9" s="81"/>
      <c r="N9" s="82"/>
    </row>
    <row r="10">
      <c r="A10" s="69"/>
      <c r="F10" s="74" t="s">
        <v>206</v>
      </c>
      <c r="G10" s="94"/>
      <c r="H10" s="95">
        <v>2000000.0</v>
      </c>
      <c r="I10" s="108" t="s">
        <v>208</v>
      </c>
      <c r="J10" s="109">
        <f>SUM(J8) - SUM(J9)</f>
        <v>0</v>
      </c>
      <c r="K10" s="110"/>
      <c r="L10" s="80"/>
      <c r="M10" s="81"/>
      <c r="N10" s="82"/>
    </row>
    <row r="11">
      <c r="A11" s="69"/>
      <c r="F11" s="87" t="s">
        <v>210</v>
      </c>
      <c r="G11" s="96"/>
      <c r="H11" s="89">
        <v>100000.0</v>
      </c>
      <c r="I11" s="77"/>
      <c r="J11" s="78"/>
      <c r="K11" s="79"/>
      <c r="L11" s="80"/>
      <c r="M11" s="81"/>
      <c r="N11" s="82"/>
    </row>
    <row r="12">
      <c r="A12" s="69"/>
      <c r="F12" s="74" t="s">
        <v>1967</v>
      </c>
      <c r="G12" s="94"/>
      <c r="H12" s="95">
        <v>1230000.0</v>
      </c>
      <c r="I12" s="77"/>
      <c r="J12" s="78"/>
      <c r="K12" s="79"/>
      <c r="L12" s="80"/>
      <c r="M12" s="81"/>
      <c r="N12" s="82"/>
    </row>
    <row r="13">
      <c r="A13" s="69"/>
      <c r="F13" s="87"/>
      <c r="G13" s="96"/>
      <c r="H13" s="111"/>
      <c r="I13" s="112"/>
      <c r="J13" s="113"/>
      <c r="K13" s="79"/>
      <c r="L13" s="80"/>
      <c r="M13" s="81"/>
      <c r="N13" s="82"/>
    </row>
    <row r="14">
      <c r="A14" s="69"/>
      <c r="F14" s="74"/>
      <c r="G14" s="94"/>
      <c r="H14" s="95"/>
      <c r="I14" s="114" t="s">
        <v>213</v>
      </c>
      <c r="J14" s="115">
        <f>IF(OR(B8=0, B8=""), 0, IFERROR(E8-H18, 0))</f>
        <v>35789430</v>
      </c>
      <c r="K14" s="79"/>
      <c r="L14" s="80"/>
      <c r="M14" s="81"/>
      <c r="N14" s="82"/>
    </row>
    <row r="15">
      <c r="A15" s="69"/>
      <c r="F15" s="87"/>
      <c r="G15" s="96"/>
      <c r="H15" s="89"/>
      <c r="I15" s="77"/>
      <c r="J15" s="78"/>
      <c r="K15" s="79"/>
      <c r="L15" s="80"/>
      <c r="M15" s="81"/>
      <c r="N15" s="82"/>
    </row>
    <row r="16">
      <c r="A16" s="69"/>
      <c r="F16" s="74"/>
      <c r="G16" s="94"/>
      <c r="H16" s="95"/>
      <c r="I16" s="77"/>
      <c r="J16" s="78"/>
      <c r="K16" s="79"/>
      <c r="L16" s="80"/>
      <c r="M16" s="81"/>
      <c r="N16" s="82"/>
    </row>
    <row r="17">
      <c r="A17" s="69"/>
      <c r="F17" s="87"/>
      <c r="G17" s="96"/>
      <c r="H17" s="89"/>
      <c r="I17" s="77"/>
      <c r="J17" s="78"/>
      <c r="K17" s="79"/>
      <c r="L17" s="80"/>
      <c r="M17" s="81"/>
      <c r="N17" s="82"/>
    </row>
    <row r="18">
      <c r="A18" s="69"/>
      <c r="F18" s="74"/>
      <c r="G18" s="116" t="s">
        <v>201</v>
      </c>
      <c r="H18" s="117">
        <f>SUBTOTAL(9, H2:H17)</f>
        <v>31133370</v>
      </c>
      <c r="I18" s="77"/>
      <c r="J18" s="78"/>
      <c r="K18" s="79"/>
      <c r="L18" s="80"/>
      <c r="M18" s="81"/>
      <c r="N18" s="82"/>
    </row>
    <row r="19">
      <c r="A19" s="118" t="s">
        <v>161</v>
      </c>
      <c r="B19" s="119" t="s">
        <v>215</v>
      </c>
      <c r="C19" s="120" t="s">
        <v>163</v>
      </c>
      <c r="D19" s="121" t="s">
        <v>8</v>
      </c>
      <c r="E19" s="121" t="s">
        <v>164</v>
      </c>
      <c r="F19" s="120" t="s">
        <v>216</v>
      </c>
      <c r="G19" s="120" t="s">
        <v>10</v>
      </c>
      <c r="H19" s="121" t="s">
        <v>164</v>
      </c>
      <c r="I19" s="122" t="s">
        <v>10</v>
      </c>
      <c r="J19" s="121" t="s">
        <v>164</v>
      </c>
      <c r="K19" s="120" t="s">
        <v>166</v>
      </c>
      <c r="L19" s="121" t="s">
        <v>164</v>
      </c>
      <c r="M19" s="123"/>
      <c r="N19" s="68"/>
    </row>
    <row r="20">
      <c r="A20" s="69" t="s">
        <v>1968</v>
      </c>
      <c r="B20" s="105">
        <v>5278.0</v>
      </c>
      <c r="C20" s="71" t="s">
        <v>163</v>
      </c>
      <c r="D20" s="72">
        <v>3080.0</v>
      </c>
      <c r="E20" s="73">
        <f t="shared" ref="E20:E23" si="3">IF(OR(B20="", D20=""), 0, B20*D20)</f>
        <v>16256240</v>
      </c>
      <c r="F20" s="74" t="s">
        <v>169</v>
      </c>
      <c r="G20" s="75" t="str">
        <f>FIXED('Copy of harian'!B26, 0, FALSE) &amp; " x Rp 120"</f>
        <v>18.207 x Rp 120</v>
      </c>
      <c r="H20" s="95">
        <f t="shared" ref="H20:H21" si="4">IF(OR(G20="", G20="---", NOT(ISNUMBER(SEARCH(" x ", G20)))), 0, VALUE(SUBSTITUTE(LEFT(G20, SEARCH(" x ", G20)-1), ".", "")) * VALUE(MID(G20, SEARCH(" x ", G20)+3, LEN(G20))))</f>
        <v>2184840</v>
      </c>
      <c r="I20" s="77" t="s">
        <v>172</v>
      </c>
      <c r="J20" s="78"/>
      <c r="K20" s="79"/>
      <c r="L20" s="80"/>
      <c r="M20" s="81"/>
      <c r="N20" s="82"/>
    </row>
    <row r="21">
      <c r="A21" s="69"/>
      <c r="B21" s="124">
        <v>5392.0</v>
      </c>
      <c r="C21" s="84" t="s">
        <v>163</v>
      </c>
      <c r="D21" s="85">
        <v>3080.0</v>
      </c>
      <c r="E21" s="86">
        <f t="shared" si="3"/>
        <v>16607360</v>
      </c>
      <c r="F21" s="87" t="s">
        <v>176</v>
      </c>
      <c r="G21" s="88" t="str">
        <f>FIXED('Copy of harian'!B26, 0, FALSE) &amp; " x Rp 170"</f>
        <v>18.207 x Rp 170</v>
      </c>
      <c r="H21" s="89">
        <f t="shared" si="4"/>
        <v>3095190</v>
      </c>
      <c r="I21" s="90" t="s">
        <v>225</v>
      </c>
      <c r="J21" s="91">
        <f>E26</f>
        <v>55851450</v>
      </c>
      <c r="K21" s="92"/>
      <c r="L21" s="93"/>
      <c r="M21" s="81"/>
      <c r="N21" s="82"/>
    </row>
    <row r="22">
      <c r="A22" s="69"/>
      <c r="B22" s="105">
        <v>4511.0</v>
      </c>
      <c r="C22" s="71" t="s">
        <v>163</v>
      </c>
      <c r="D22" s="72">
        <v>3050.0</v>
      </c>
      <c r="E22" s="73">
        <f t="shared" si="3"/>
        <v>13758550</v>
      </c>
      <c r="F22" s="74" t="s">
        <v>183</v>
      </c>
      <c r="G22" s="94"/>
      <c r="H22" s="95">
        <v>700000.0</v>
      </c>
      <c r="I22" s="77" t="s">
        <v>229</v>
      </c>
      <c r="J22" s="78">
        <f>IF(H36&gt;0, H36, "")</f>
        <v>23185030</v>
      </c>
      <c r="K22" s="79"/>
      <c r="L22" s="80"/>
      <c r="M22" s="81"/>
      <c r="N22" s="82"/>
    </row>
    <row r="23">
      <c r="A23" s="69"/>
      <c r="B23" s="124">
        <v>3026.0</v>
      </c>
      <c r="C23" s="84" t="s">
        <v>163</v>
      </c>
      <c r="D23" s="85">
        <v>3050.0</v>
      </c>
      <c r="E23" s="86">
        <f t="shared" si="3"/>
        <v>9229300</v>
      </c>
      <c r="F23" s="87" t="s">
        <v>188</v>
      </c>
      <c r="G23" s="96"/>
      <c r="H23" s="89">
        <v>200000.0</v>
      </c>
      <c r="I23" s="90" t="s">
        <v>166</v>
      </c>
      <c r="J23" s="91"/>
      <c r="K23" s="92"/>
      <c r="L23" s="93"/>
      <c r="M23" s="81"/>
      <c r="N23" s="82"/>
    </row>
    <row r="24">
      <c r="A24" s="69"/>
      <c r="B24" s="105"/>
      <c r="C24" s="71"/>
      <c r="D24" s="72"/>
      <c r="E24" s="73" t="str">
        <f t="shared" ref="E24:E25" si="5">IF(OR(B24="", D24=""), "⏳", B24*D24)</f>
        <v>⏳</v>
      </c>
      <c r="F24" s="74" t="s">
        <v>233</v>
      </c>
      <c r="G24" s="94"/>
      <c r="H24" s="95">
        <v>4500000.0</v>
      </c>
      <c r="I24" s="77" t="s">
        <v>195</v>
      </c>
      <c r="J24" s="78">
        <v>6000000.0</v>
      </c>
      <c r="K24" s="79"/>
      <c r="L24" s="80"/>
      <c r="M24" s="81"/>
      <c r="N24" s="82"/>
    </row>
    <row r="25">
      <c r="A25" s="69"/>
      <c r="B25" s="124"/>
      <c r="C25" s="84"/>
      <c r="D25" s="85"/>
      <c r="E25" s="86" t="str">
        <f t="shared" si="5"/>
        <v>⏳</v>
      </c>
      <c r="F25" s="87" t="s">
        <v>235</v>
      </c>
      <c r="G25" s="96"/>
      <c r="H25" s="89">
        <v>500000.0</v>
      </c>
      <c r="I25" s="90"/>
      <c r="J25" s="91"/>
      <c r="K25" s="79"/>
      <c r="L25" s="80"/>
      <c r="M25" s="81"/>
      <c r="N25" s="82"/>
    </row>
    <row r="26">
      <c r="A26" s="69"/>
      <c r="B26" s="99">
        <f>SUBTOTAL(9, B20:B25)</f>
        <v>18207</v>
      </c>
      <c r="C26" s="100"/>
      <c r="D26" s="101"/>
      <c r="E26" s="102">
        <f>SUBTOTAL(9, E20:E25)</f>
        <v>55851450</v>
      </c>
      <c r="F26" s="74" t="s">
        <v>237</v>
      </c>
      <c r="G26" s="94"/>
      <c r="H26" s="95">
        <v>6000000.0</v>
      </c>
      <c r="I26" s="103" t="s">
        <v>201</v>
      </c>
      <c r="J26" s="104">
        <f>IF(OR(B26=0, B26=""), 0, IFERROR(SUM(J20, J21, J24) - SUM(J22, J23) + J25, 0))</f>
        <v>38666420</v>
      </c>
      <c r="K26" s="79"/>
      <c r="L26" s="80"/>
      <c r="M26" s="81"/>
      <c r="N26" s="82"/>
    </row>
    <row r="27">
      <c r="A27" s="69"/>
      <c r="B27" s="105"/>
      <c r="F27" s="87" t="s">
        <v>239</v>
      </c>
      <c r="G27" s="96" t="s">
        <v>240</v>
      </c>
      <c r="H27" s="89">
        <v>1050000.0</v>
      </c>
      <c r="I27" s="106" t="s">
        <v>205</v>
      </c>
      <c r="J27" s="125">
        <v>3.2E7</v>
      </c>
      <c r="K27" s="79"/>
      <c r="L27" s="80"/>
      <c r="M27" s="81"/>
      <c r="N27" s="82"/>
    </row>
    <row r="28">
      <c r="A28" s="69"/>
      <c r="F28" s="74" t="s">
        <v>243</v>
      </c>
      <c r="G28" s="94"/>
      <c r="H28" s="95">
        <v>750000.0</v>
      </c>
      <c r="I28" s="108" t="s">
        <v>208</v>
      </c>
      <c r="J28" s="109">
        <f>SUM(J26) - SUM(J27)</f>
        <v>6666420</v>
      </c>
      <c r="K28" s="79"/>
      <c r="L28" s="80"/>
      <c r="M28" s="81"/>
      <c r="N28" s="82"/>
    </row>
    <row r="29">
      <c r="A29" s="69"/>
      <c r="F29" s="87" t="s">
        <v>245</v>
      </c>
      <c r="G29" s="96"/>
      <c r="H29" s="89">
        <v>330000.0</v>
      </c>
      <c r="I29" s="77"/>
      <c r="J29" s="78"/>
      <c r="K29" s="79"/>
      <c r="L29" s="80"/>
      <c r="M29" s="81"/>
      <c r="N29" s="82"/>
    </row>
    <row r="30">
      <c r="A30" s="69"/>
      <c r="F30" s="74" t="s">
        <v>246</v>
      </c>
      <c r="G30" s="94"/>
      <c r="H30" s="95">
        <v>100000.0</v>
      </c>
      <c r="I30" s="77"/>
      <c r="J30" s="78"/>
      <c r="K30" s="79"/>
      <c r="L30" s="80"/>
      <c r="M30" s="81"/>
      <c r="N30" s="82"/>
    </row>
    <row r="31">
      <c r="A31" s="69"/>
      <c r="F31" s="87" t="s">
        <v>239</v>
      </c>
      <c r="G31" s="96" t="s">
        <v>247</v>
      </c>
      <c r="H31" s="89">
        <v>800000.0</v>
      </c>
      <c r="I31" s="126"/>
      <c r="J31" s="113"/>
      <c r="K31" s="79"/>
      <c r="L31" s="80"/>
      <c r="M31" s="81"/>
      <c r="N31" s="82"/>
    </row>
    <row r="32">
      <c r="A32" s="69"/>
      <c r="F32" s="74" t="s">
        <v>248</v>
      </c>
      <c r="G32" s="94" t="s">
        <v>249</v>
      </c>
      <c r="H32" s="95">
        <v>2975000.0</v>
      </c>
      <c r="I32" s="114" t="s">
        <v>251</v>
      </c>
      <c r="J32" s="115">
        <f>IF(OR(B26=0, B26=""), 0, IFERROR(E26-H36, 0))</f>
        <v>32666420</v>
      </c>
      <c r="K32" s="79"/>
      <c r="L32" s="80"/>
      <c r="M32" s="81"/>
      <c r="N32" s="82"/>
    </row>
    <row r="33">
      <c r="A33" s="69"/>
      <c r="F33" s="87"/>
      <c r="G33" s="96"/>
      <c r="H33" s="89"/>
      <c r="I33" s="77"/>
      <c r="J33" s="78"/>
      <c r="K33" s="79"/>
      <c r="L33" s="80"/>
      <c r="M33" s="81"/>
      <c r="N33" s="82"/>
    </row>
    <row r="34">
      <c r="A34" s="69"/>
      <c r="F34" s="74"/>
      <c r="G34" s="94"/>
      <c r="H34" s="95"/>
      <c r="I34" s="77"/>
      <c r="J34" s="78"/>
      <c r="K34" s="79"/>
      <c r="L34" s="80"/>
      <c r="M34" s="81"/>
      <c r="N34" s="82"/>
    </row>
    <row r="35">
      <c r="A35" s="69"/>
      <c r="F35" s="87"/>
      <c r="G35" s="96"/>
      <c r="H35" s="89"/>
      <c r="I35" s="77"/>
      <c r="J35" s="78"/>
      <c r="K35" s="79"/>
      <c r="L35" s="80"/>
      <c r="M35" s="81"/>
      <c r="N35" s="82"/>
    </row>
    <row r="36">
      <c r="A36" s="69"/>
      <c r="F36" s="74"/>
      <c r="G36" s="116" t="s">
        <v>201</v>
      </c>
      <c r="H36" s="117">
        <f>SUBTOTAL(9, H20:H35)</f>
        <v>23185030</v>
      </c>
      <c r="I36" s="77"/>
      <c r="J36" s="78"/>
      <c r="K36" s="79"/>
      <c r="L36" s="80"/>
      <c r="M36" s="81"/>
      <c r="N36" s="82"/>
    </row>
    <row r="37">
      <c r="A37" s="118" t="s">
        <v>253</v>
      </c>
      <c r="B37" s="119" t="s">
        <v>162</v>
      </c>
      <c r="C37" s="120" t="s">
        <v>163</v>
      </c>
      <c r="D37" s="121" t="s">
        <v>8</v>
      </c>
      <c r="E37" s="121" t="s">
        <v>164</v>
      </c>
      <c r="F37" s="120" t="s">
        <v>165</v>
      </c>
      <c r="G37" s="120" t="s">
        <v>10</v>
      </c>
      <c r="H37" s="121" t="s">
        <v>164</v>
      </c>
      <c r="I37" s="122" t="s">
        <v>10</v>
      </c>
      <c r="J37" s="121" t="s">
        <v>164</v>
      </c>
      <c r="K37" s="120" t="s">
        <v>166</v>
      </c>
      <c r="L37" s="121" t="s">
        <v>164</v>
      </c>
      <c r="M37" s="81"/>
      <c r="N37" s="82"/>
    </row>
    <row r="38">
      <c r="A38" s="69" t="s">
        <v>1969</v>
      </c>
      <c r="B38" s="105">
        <v>3464.0</v>
      </c>
      <c r="C38" s="71" t="s">
        <v>163</v>
      </c>
      <c r="D38" s="72">
        <v>3070.0</v>
      </c>
      <c r="E38" s="73">
        <f t="shared" ref="E38:E42" si="6">IF(OR(B38="", D38=""), 0, B38*D38)</f>
        <v>10634480</v>
      </c>
      <c r="F38" s="74" t="s">
        <v>169</v>
      </c>
      <c r="G38" s="75" t="str">
        <f>FIXED('Copy of harian'!B44, 0, FALSE) &amp; " x Rp 120"</f>
        <v>20.807 x Rp 120</v>
      </c>
      <c r="H38" s="95">
        <f t="shared" ref="H38:H39" si="7">IF(OR(G38="", G38="---", NOT(ISNUMBER(SEARCH(" x ", G38)))), 0, VALUE(SUBSTITUTE(LEFT(G38, SEARCH(" x ", G38)-1), ".", "")) * VALUE(MID(G38, SEARCH(" x ", G38)+3, LEN(G38))))</f>
        <v>2496840</v>
      </c>
      <c r="I38" s="77" t="s">
        <v>172</v>
      </c>
      <c r="J38" s="78">
        <v>6000000.0</v>
      </c>
      <c r="K38" s="79"/>
      <c r="L38" s="80"/>
      <c r="M38" s="81"/>
      <c r="N38" s="82"/>
    </row>
    <row r="39">
      <c r="A39" s="69"/>
      <c r="B39" s="124">
        <v>2172.0</v>
      </c>
      <c r="C39" s="84" t="s">
        <v>163</v>
      </c>
      <c r="D39" s="85">
        <v>3090.0</v>
      </c>
      <c r="E39" s="86">
        <f t="shared" si="6"/>
        <v>6711480</v>
      </c>
      <c r="F39" s="87" t="s">
        <v>176</v>
      </c>
      <c r="G39" s="88" t="str">
        <f>FIXED('Copy of harian'!B44, 0, FALSE) &amp; " x Rp 170"</f>
        <v>20.807 x Rp 170</v>
      </c>
      <c r="H39" s="89">
        <f t="shared" si="7"/>
        <v>3537190</v>
      </c>
      <c r="I39" s="90" t="s">
        <v>179</v>
      </c>
      <c r="J39" s="91">
        <f>E44</f>
        <v>64103490</v>
      </c>
      <c r="K39" s="92"/>
      <c r="L39" s="93"/>
      <c r="M39" s="81"/>
      <c r="N39" s="82"/>
    </row>
    <row r="40">
      <c r="A40" s="69"/>
      <c r="B40" s="105">
        <v>5287.0</v>
      </c>
      <c r="C40" s="71" t="s">
        <v>163</v>
      </c>
      <c r="D40" s="72">
        <v>3090.0</v>
      </c>
      <c r="E40" s="73">
        <f t="shared" si="6"/>
        <v>16336830</v>
      </c>
      <c r="F40" s="74" t="s">
        <v>183</v>
      </c>
      <c r="G40" s="94"/>
      <c r="H40" s="95">
        <v>700000.0</v>
      </c>
      <c r="I40" s="77" t="s">
        <v>184</v>
      </c>
      <c r="J40" s="78">
        <f>IF(H54&gt;0, H54, "")</f>
        <v>25689030</v>
      </c>
      <c r="K40" s="79"/>
      <c r="L40" s="80"/>
      <c r="M40" s="81"/>
      <c r="N40" s="82"/>
    </row>
    <row r="41">
      <c r="A41" s="69"/>
      <c r="B41" s="124">
        <v>6043.0</v>
      </c>
      <c r="C41" s="84" t="s">
        <v>163</v>
      </c>
      <c r="D41" s="85">
        <v>3070.0</v>
      </c>
      <c r="E41" s="86">
        <f t="shared" si="6"/>
        <v>18552010</v>
      </c>
      <c r="F41" s="87" t="s">
        <v>188</v>
      </c>
      <c r="G41" s="96"/>
      <c r="H41" s="89">
        <v>250000.0</v>
      </c>
      <c r="I41" s="90" t="s">
        <v>166</v>
      </c>
      <c r="J41" s="91">
        <v>6000000.0</v>
      </c>
      <c r="K41" s="92"/>
      <c r="L41" s="93"/>
      <c r="M41" s="81"/>
      <c r="N41" s="82"/>
    </row>
    <row r="42">
      <c r="A42" s="69"/>
      <c r="B42" s="105">
        <v>3841.0</v>
      </c>
      <c r="C42" s="71" t="s">
        <v>163</v>
      </c>
      <c r="D42" s="72">
        <v>3090.0</v>
      </c>
      <c r="E42" s="73">
        <f t="shared" si="6"/>
        <v>11868690</v>
      </c>
      <c r="F42" s="97" t="s">
        <v>270</v>
      </c>
      <c r="G42" s="94" t="s">
        <v>271</v>
      </c>
      <c r="H42" s="95">
        <v>6400000.0</v>
      </c>
      <c r="I42" s="77" t="s">
        <v>195</v>
      </c>
      <c r="J42" s="78"/>
      <c r="K42" s="79"/>
      <c r="L42" s="80"/>
      <c r="M42" s="81"/>
      <c r="N42" s="82"/>
    </row>
    <row r="43">
      <c r="A43" s="69"/>
      <c r="B43" s="124"/>
      <c r="C43" s="84"/>
      <c r="D43" s="85"/>
      <c r="E43" s="86" t="str">
        <f>IF(OR(B43="", D43=""), "⏳", B43*D43)</f>
        <v>⏳</v>
      </c>
      <c r="F43" s="87" t="s">
        <v>197</v>
      </c>
      <c r="G43" s="96"/>
      <c r="H43" s="89">
        <v>3200000.0</v>
      </c>
      <c r="I43" s="90"/>
      <c r="J43" s="91"/>
      <c r="K43" s="79"/>
      <c r="L43" s="80"/>
      <c r="M43" s="81"/>
      <c r="N43" s="82"/>
    </row>
    <row r="44">
      <c r="A44" s="69"/>
      <c r="B44" s="127">
        <f>SUBTOTAL(9, B38:B43)</f>
        <v>20807</v>
      </c>
      <c r="C44" s="128"/>
      <c r="D44" s="101"/>
      <c r="E44" s="102">
        <f>SUBTOTAL(9, E38:E43)</f>
        <v>64103490</v>
      </c>
      <c r="F44" s="74" t="s">
        <v>275</v>
      </c>
      <c r="G44" s="94"/>
      <c r="H44" s="95">
        <v>400000.0</v>
      </c>
      <c r="I44" s="103" t="s">
        <v>201</v>
      </c>
      <c r="J44" s="104">
        <f>IF(OR(B44=0, B44=""), 0, IFERROR(SUM(J38, J39, J42) - SUM(J40, J41) + J43, 0))</f>
        <v>38414460</v>
      </c>
      <c r="K44" s="79"/>
      <c r="L44" s="80"/>
      <c r="M44" s="81"/>
      <c r="N44" s="82"/>
    </row>
    <row r="45">
      <c r="A45" s="69"/>
      <c r="B45" s="105"/>
      <c r="F45" s="87" t="s">
        <v>200</v>
      </c>
      <c r="G45" s="96" t="s">
        <v>277</v>
      </c>
      <c r="H45" s="89">
        <v>220000.0</v>
      </c>
      <c r="I45" s="106" t="s">
        <v>205</v>
      </c>
      <c r="J45" s="125">
        <v>2.3E7</v>
      </c>
      <c r="K45" s="79"/>
      <c r="L45" s="80"/>
      <c r="M45" s="81"/>
      <c r="N45" s="82"/>
    </row>
    <row r="46">
      <c r="A46" s="69"/>
      <c r="F46" s="74" t="s">
        <v>279</v>
      </c>
      <c r="G46" s="94"/>
      <c r="H46" s="95">
        <v>150000.0</v>
      </c>
      <c r="I46" s="108" t="s">
        <v>208</v>
      </c>
      <c r="J46" s="109">
        <f>SUM(J44) - SUM(J45)</f>
        <v>15414460</v>
      </c>
      <c r="K46" s="79"/>
      <c r="L46" s="80"/>
      <c r="M46" s="81"/>
      <c r="N46" s="82"/>
    </row>
    <row r="47">
      <c r="A47" s="69"/>
      <c r="F47" s="87" t="s">
        <v>281</v>
      </c>
      <c r="G47" s="96"/>
      <c r="H47" s="89">
        <v>1785000.0</v>
      </c>
      <c r="I47" s="77"/>
      <c r="J47" s="78"/>
      <c r="K47" s="79"/>
      <c r="L47" s="80"/>
      <c r="M47" s="81"/>
      <c r="N47" s="82"/>
    </row>
    <row r="48">
      <c r="A48" s="69"/>
      <c r="F48" s="74" t="s">
        <v>283</v>
      </c>
      <c r="G48" s="94" t="s">
        <v>284</v>
      </c>
      <c r="H48" s="95">
        <v>5800000.0</v>
      </c>
      <c r="I48" s="77"/>
      <c r="J48" s="78"/>
      <c r="K48" s="79"/>
      <c r="L48" s="80"/>
      <c r="M48" s="81"/>
      <c r="N48" s="82"/>
    </row>
    <row r="49">
      <c r="A49" s="69"/>
      <c r="F49" s="87" t="s">
        <v>243</v>
      </c>
      <c r="G49" s="96"/>
      <c r="H49" s="89">
        <v>750000.0</v>
      </c>
      <c r="I49" s="126"/>
      <c r="J49" s="113"/>
      <c r="K49" s="79"/>
      <c r="L49" s="80"/>
      <c r="M49" s="81"/>
      <c r="N49" s="82"/>
    </row>
    <row r="50">
      <c r="A50" s="69"/>
      <c r="F50" s="74"/>
      <c r="G50" s="94"/>
      <c r="H50" s="95"/>
      <c r="I50" s="129" t="s">
        <v>251</v>
      </c>
      <c r="J50" s="130">
        <f>IF(OR(B44=0, B44=""), 0, IFERROR(E44-H54, 0))</f>
        <v>38414460</v>
      </c>
      <c r="K50" s="79"/>
      <c r="L50" s="80"/>
      <c r="M50" s="81"/>
      <c r="N50" s="82"/>
    </row>
    <row r="51">
      <c r="A51" s="69"/>
      <c r="F51" s="87"/>
      <c r="G51" s="96"/>
      <c r="H51" s="89"/>
      <c r="I51" s="77"/>
      <c r="J51" s="78"/>
      <c r="K51" s="79"/>
      <c r="L51" s="80"/>
      <c r="M51" s="81"/>
      <c r="N51" s="82"/>
    </row>
    <row r="52">
      <c r="A52" s="69"/>
      <c r="F52" s="74"/>
      <c r="G52" s="94"/>
      <c r="H52" s="95"/>
      <c r="I52" s="77"/>
      <c r="J52" s="78"/>
      <c r="K52" s="79"/>
      <c r="L52" s="80"/>
      <c r="M52" s="81"/>
      <c r="N52" s="82"/>
    </row>
    <row r="53">
      <c r="A53" s="69"/>
      <c r="F53" s="87"/>
      <c r="G53" s="96"/>
      <c r="H53" s="89"/>
      <c r="I53" s="77"/>
      <c r="J53" s="78"/>
      <c r="K53" s="79"/>
      <c r="L53" s="80"/>
      <c r="M53" s="81"/>
      <c r="N53" s="82"/>
    </row>
    <row r="54">
      <c r="A54" s="69"/>
      <c r="F54" s="74"/>
      <c r="G54" s="116" t="s">
        <v>201</v>
      </c>
      <c r="H54" s="117">
        <f>SUBTOTAL(9, H38:H53)</f>
        <v>25689030</v>
      </c>
      <c r="I54" s="77"/>
      <c r="J54" s="78"/>
      <c r="K54" s="79"/>
      <c r="L54" s="80"/>
      <c r="M54" s="81"/>
      <c r="N54" s="82"/>
    </row>
    <row r="55">
      <c r="A55" s="118" t="s">
        <v>253</v>
      </c>
      <c r="B55" s="119" t="s">
        <v>215</v>
      </c>
      <c r="C55" s="120" t="s">
        <v>163</v>
      </c>
      <c r="D55" s="121" t="s">
        <v>8</v>
      </c>
      <c r="E55" s="121" t="s">
        <v>164</v>
      </c>
      <c r="F55" s="120" t="s">
        <v>216</v>
      </c>
      <c r="G55" s="120" t="s">
        <v>10</v>
      </c>
      <c r="H55" s="121" t="s">
        <v>164</v>
      </c>
      <c r="I55" s="122" t="s">
        <v>10</v>
      </c>
      <c r="J55" s="121" t="s">
        <v>164</v>
      </c>
      <c r="K55" s="120" t="s">
        <v>166</v>
      </c>
      <c r="L55" s="121" t="s">
        <v>164</v>
      </c>
      <c r="M55" s="81"/>
      <c r="N55" s="82"/>
    </row>
    <row r="56">
      <c r="A56" s="69" t="s">
        <v>1970</v>
      </c>
      <c r="B56" s="105">
        <v>5655.0</v>
      </c>
      <c r="C56" s="71" t="s">
        <v>163</v>
      </c>
      <c r="D56" s="72">
        <v>3340.0</v>
      </c>
      <c r="E56" s="73">
        <f t="shared" ref="E56:E59" si="8">IF(OR(B56="", D56=""), 0, B56*D56)</f>
        <v>18887700</v>
      </c>
      <c r="F56" s="74" t="s">
        <v>169</v>
      </c>
      <c r="G56" s="75" t="str">
        <f>FIXED('Copy of harian'!B62, 0, FALSE) &amp; " x Rp 120"</f>
        <v>20.534 x Rp 120</v>
      </c>
      <c r="H56" s="95">
        <f t="shared" ref="H56:H57" si="9">IF(OR(G56="", G56="---", NOT(ISNUMBER(SEARCH(" x ", G56)))), 0, VALUE(SUBSTITUTE(LEFT(G56, SEARCH(" x ", G56)-1), ".", "")) * VALUE(MID(G56, SEARCH(" x ", G56)+3, LEN(G56))))</f>
        <v>2464080</v>
      </c>
      <c r="I56" s="77" t="s">
        <v>172</v>
      </c>
      <c r="J56" s="78">
        <v>1.5E7</v>
      </c>
      <c r="K56" s="79" t="s">
        <v>1971</v>
      </c>
      <c r="L56" s="80">
        <v>500000.0</v>
      </c>
      <c r="M56" s="81"/>
      <c r="N56" s="82"/>
    </row>
    <row r="57">
      <c r="A57" s="69"/>
      <c r="B57" s="124">
        <v>5820.0</v>
      </c>
      <c r="C57" s="84" t="s">
        <v>163</v>
      </c>
      <c r="D57" s="85">
        <v>3370.0</v>
      </c>
      <c r="E57" s="86">
        <f t="shared" si="8"/>
        <v>19613400</v>
      </c>
      <c r="F57" s="87" t="s">
        <v>176</v>
      </c>
      <c r="G57" s="88" t="str">
        <f>FIXED('Copy of harian'!B62, 0, FALSE) &amp; " x Rp 170"</f>
        <v>20.534 x Rp 170</v>
      </c>
      <c r="H57" s="89">
        <f t="shared" si="9"/>
        <v>3490780</v>
      </c>
      <c r="I57" s="90" t="s">
        <v>225</v>
      </c>
      <c r="J57" s="91">
        <f>E62</f>
        <v>69475890</v>
      </c>
      <c r="K57" s="92"/>
      <c r="L57" s="93"/>
      <c r="M57" s="81"/>
      <c r="N57" s="82"/>
    </row>
    <row r="58">
      <c r="A58" s="69"/>
      <c r="B58" s="105">
        <v>4879.0</v>
      </c>
      <c r="C58" s="71" t="s">
        <v>163</v>
      </c>
      <c r="D58" s="72">
        <v>3410.0</v>
      </c>
      <c r="E58" s="73">
        <f t="shared" si="8"/>
        <v>16637390</v>
      </c>
      <c r="F58" s="74" t="s">
        <v>183</v>
      </c>
      <c r="G58" s="94"/>
      <c r="H58" s="95">
        <v>700000.0</v>
      </c>
      <c r="I58" s="77" t="s">
        <v>229</v>
      </c>
      <c r="J58" s="78">
        <f>IF(H72&gt;0, H72, "")</f>
        <v>57499860</v>
      </c>
      <c r="K58" s="79"/>
      <c r="L58" s="80"/>
      <c r="M58" s="81"/>
      <c r="N58" s="82"/>
    </row>
    <row r="59">
      <c r="A59" s="69"/>
      <c r="B59" s="124">
        <v>4180.0</v>
      </c>
      <c r="C59" s="84" t="s">
        <v>163</v>
      </c>
      <c r="D59" s="85">
        <v>3430.0</v>
      </c>
      <c r="E59" s="86">
        <f t="shared" si="8"/>
        <v>14337400</v>
      </c>
      <c r="F59" s="87" t="s">
        <v>188</v>
      </c>
      <c r="G59" s="96"/>
      <c r="H59" s="89">
        <v>200000.0</v>
      </c>
      <c r="I59" s="90" t="s">
        <v>166</v>
      </c>
      <c r="J59" s="91"/>
      <c r="K59" s="92"/>
      <c r="L59" s="93"/>
      <c r="M59" s="81"/>
      <c r="N59" s="82"/>
    </row>
    <row r="60">
      <c r="A60" s="69"/>
      <c r="B60" s="105"/>
      <c r="C60" s="71"/>
      <c r="D60" s="72"/>
      <c r="E60" s="73" t="str">
        <f t="shared" ref="E60:E61" si="10">IF(OR(B60="", D60=""), "⏳", B60*D60)</f>
        <v>⏳</v>
      </c>
      <c r="F60" s="97" t="s">
        <v>302</v>
      </c>
      <c r="G60" s="94" t="s">
        <v>303</v>
      </c>
      <c r="H60" s="95">
        <v>1.512E7</v>
      </c>
      <c r="I60" s="77" t="s">
        <v>195</v>
      </c>
      <c r="J60" s="78">
        <v>6000000.0</v>
      </c>
      <c r="K60" s="79"/>
      <c r="L60" s="80"/>
      <c r="M60" s="81"/>
      <c r="N60" s="82"/>
    </row>
    <row r="61">
      <c r="A61" s="69"/>
      <c r="B61" s="124"/>
      <c r="C61" s="84"/>
      <c r="D61" s="85"/>
      <c r="E61" s="86" t="str">
        <f t="shared" si="10"/>
        <v>⏳</v>
      </c>
      <c r="F61" s="87" t="s">
        <v>197</v>
      </c>
      <c r="G61" s="96" t="s">
        <v>305</v>
      </c>
      <c r="H61" s="89">
        <v>3150000.0</v>
      </c>
      <c r="I61" s="90"/>
      <c r="J61" s="91"/>
      <c r="K61" s="79"/>
      <c r="L61" s="80"/>
      <c r="M61" s="81"/>
      <c r="N61" s="82"/>
    </row>
    <row r="62">
      <c r="A62" s="69"/>
      <c r="B62" s="99">
        <f>SUBTOTAL(9, B56:B61)</f>
        <v>20534</v>
      </c>
      <c r="C62" s="128"/>
      <c r="D62" s="101"/>
      <c r="E62" s="102">
        <f>SUBTOTAL(9, E56:E61)</f>
        <v>69475890</v>
      </c>
      <c r="F62" s="74" t="s">
        <v>308</v>
      </c>
      <c r="G62" s="94" t="s">
        <v>309</v>
      </c>
      <c r="H62" s="95">
        <v>500000.0</v>
      </c>
      <c r="I62" s="103" t="s">
        <v>201</v>
      </c>
      <c r="J62" s="104">
        <f>IF(OR(B62=0, B62=""), 0, IFERROR(SUM(J56, J57, J60) - SUM(J58, J59) + J61, 0))</f>
        <v>32976030</v>
      </c>
      <c r="K62" s="79"/>
      <c r="L62" s="80"/>
      <c r="M62" s="81"/>
      <c r="N62" s="82"/>
    </row>
    <row r="63">
      <c r="A63" s="69"/>
      <c r="B63" s="105"/>
      <c r="F63" s="87" t="s">
        <v>233</v>
      </c>
      <c r="G63" s="96"/>
      <c r="H63" s="89">
        <v>4500000.0</v>
      </c>
      <c r="I63" s="106" t="s">
        <v>205</v>
      </c>
      <c r="J63" s="125"/>
      <c r="K63" s="79"/>
      <c r="L63" s="80"/>
      <c r="M63" s="81"/>
      <c r="N63" s="82"/>
    </row>
    <row r="64">
      <c r="A64" s="69"/>
      <c r="F64" s="74" t="s">
        <v>311</v>
      </c>
      <c r="G64" s="94"/>
      <c r="H64" s="95">
        <v>2490000.0</v>
      </c>
      <c r="I64" s="108" t="s">
        <v>208</v>
      </c>
      <c r="J64" s="109">
        <f>SUM(J62) - SUM(J63)</f>
        <v>32976030</v>
      </c>
      <c r="K64" s="79"/>
      <c r="L64" s="80"/>
      <c r="M64" s="81"/>
      <c r="N64" s="82"/>
    </row>
    <row r="65">
      <c r="A65" s="69"/>
      <c r="F65" s="87" t="s">
        <v>313</v>
      </c>
      <c r="G65" s="96"/>
      <c r="H65" s="89">
        <v>5200000.0</v>
      </c>
      <c r="I65" s="77"/>
      <c r="J65" s="78"/>
      <c r="K65" s="79"/>
      <c r="L65" s="80"/>
      <c r="M65" s="81"/>
      <c r="N65" s="82"/>
    </row>
    <row r="66">
      <c r="A66" s="69"/>
      <c r="F66" s="74" t="s">
        <v>237</v>
      </c>
      <c r="G66" s="94" t="s">
        <v>315</v>
      </c>
      <c r="H66" s="95">
        <v>9500000.0</v>
      </c>
      <c r="I66" s="77"/>
      <c r="J66" s="78"/>
      <c r="K66" s="79"/>
      <c r="L66" s="80"/>
      <c r="M66" s="81"/>
      <c r="N66" s="82"/>
    </row>
    <row r="67">
      <c r="A67" s="69"/>
      <c r="F67" s="87" t="s">
        <v>246</v>
      </c>
      <c r="G67" s="96"/>
      <c r="H67" s="89">
        <v>1500000.0</v>
      </c>
      <c r="I67" s="126"/>
      <c r="J67" s="113"/>
      <c r="K67" s="79"/>
      <c r="L67" s="80"/>
      <c r="M67" s="81"/>
      <c r="N67" s="82"/>
    </row>
    <row r="68">
      <c r="A68" s="69"/>
      <c r="F68" s="74" t="s">
        <v>248</v>
      </c>
      <c r="G68" s="94" t="s">
        <v>318</v>
      </c>
      <c r="H68" s="95">
        <v>560000.0</v>
      </c>
      <c r="I68" s="129" t="s">
        <v>213</v>
      </c>
      <c r="J68" s="130">
        <f>IF(OR(B62=0, B62=""), 0, IFERROR(E62-H72, 0))</f>
        <v>11976030</v>
      </c>
      <c r="K68" s="79"/>
      <c r="L68" s="80"/>
      <c r="M68" s="81"/>
      <c r="N68" s="82"/>
    </row>
    <row r="69">
      <c r="A69" s="69"/>
      <c r="F69" s="87" t="s">
        <v>239</v>
      </c>
      <c r="G69" s="96" t="s">
        <v>320</v>
      </c>
      <c r="H69" s="89">
        <v>7125000.0</v>
      </c>
      <c r="I69" s="77"/>
      <c r="J69" s="78"/>
      <c r="K69" s="79"/>
      <c r="L69" s="80"/>
      <c r="M69" s="81"/>
      <c r="N69" s="82"/>
    </row>
    <row r="70">
      <c r="A70" s="69"/>
      <c r="F70" s="74" t="s">
        <v>322</v>
      </c>
      <c r="G70" s="94"/>
      <c r="H70" s="95">
        <v>1000000.0</v>
      </c>
      <c r="I70" s="77"/>
      <c r="J70" s="78"/>
      <c r="K70" s="79"/>
      <c r="L70" s="80"/>
      <c r="M70" s="81"/>
      <c r="N70" s="82"/>
    </row>
    <row r="71">
      <c r="A71" s="69"/>
      <c r="F71" s="87"/>
      <c r="G71" s="96"/>
      <c r="H71" s="89"/>
      <c r="I71" s="77"/>
      <c r="J71" s="78"/>
      <c r="K71" s="79"/>
      <c r="L71" s="80"/>
      <c r="M71" s="81"/>
      <c r="N71" s="82"/>
    </row>
    <row r="72">
      <c r="A72" s="69"/>
      <c r="F72" s="74"/>
      <c r="G72" s="116" t="s">
        <v>201</v>
      </c>
      <c r="H72" s="117">
        <f>SUBTOTAL(9, H56:H71)</f>
        <v>57499860</v>
      </c>
      <c r="I72" s="77"/>
      <c r="J72" s="78"/>
      <c r="K72" s="79"/>
      <c r="L72" s="80"/>
      <c r="M72" s="81"/>
      <c r="N72" s="82"/>
    </row>
    <row r="73">
      <c r="A73" s="118" t="s">
        <v>324</v>
      </c>
      <c r="B73" s="119" t="s">
        <v>162</v>
      </c>
      <c r="C73" s="120" t="s">
        <v>163</v>
      </c>
      <c r="D73" s="121" t="s">
        <v>8</v>
      </c>
      <c r="E73" s="121" t="s">
        <v>164</v>
      </c>
      <c r="F73" s="120" t="s">
        <v>165</v>
      </c>
      <c r="G73" s="120" t="s">
        <v>10</v>
      </c>
      <c r="H73" s="121" t="s">
        <v>164</v>
      </c>
      <c r="I73" s="122" t="s">
        <v>10</v>
      </c>
      <c r="J73" s="121" t="s">
        <v>164</v>
      </c>
      <c r="K73" s="120" t="s">
        <v>166</v>
      </c>
      <c r="L73" s="121" t="s">
        <v>164</v>
      </c>
      <c r="M73" s="81"/>
      <c r="N73" s="82"/>
    </row>
    <row r="74">
      <c r="A74" s="69" t="s">
        <v>1972</v>
      </c>
      <c r="B74" s="105">
        <v>4449.0</v>
      </c>
      <c r="C74" s="71" t="s">
        <v>163</v>
      </c>
      <c r="D74" s="72">
        <v>3300.0</v>
      </c>
      <c r="E74" s="73">
        <f t="shared" ref="E74:E79" si="11">IF(OR(B74="", D74=""), "⏳", B74*D74)</f>
        <v>14681700</v>
      </c>
      <c r="F74" s="74" t="s">
        <v>169</v>
      </c>
      <c r="G74" s="75" t="str">
        <f>FIXED('Copy of harian'!B80, 0, FALSE) &amp; " x Rp 120"</f>
        <v>16.677 x Rp 120</v>
      </c>
      <c r="H74" s="95">
        <f t="shared" ref="H74:H75" si="12">IF(OR(G74="", G74="---", NOT(ISNUMBER(SEARCH(" x ", G74)))), 0, VALUE(SUBSTITUTE(LEFT(G74, SEARCH(" x ", G74)-1), ".", "")) * VALUE(MID(G74, SEARCH(" x ", G74)+3, LEN(G74))))</f>
        <v>2001240</v>
      </c>
      <c r="I74" s="77" t="s">
        <v>172</v>
      </c>
      <c r="J74" s="78">
        <v>3.2E7</v>
      </c>
      <c r="K74" s="79" t="s">
        <v>291</v>
      </c>
      <c r="L74" s="80">
        <v>500000.0</v>
      </c>
      <c r="M74" s="81"/>
      <c r="N74" s="82"/>
    </row>
    <row r="75">
      <c r="A75" s="69"/>
      <c r="B75" s="124">
        <v>4836.0</v>
      </c>
      <c r="C75" s="84" t="s">
        <v>163</v>
      </c>
      <c r="D75" s="85">
        <v>3300.0</v>
      </c>
      <c r="E75" s="86">
        <f t="shared" si="11"/>
        <v>15958800</v>
      </c>
      <c r="F75" s="87" t="s">
        <v>176</v>
      </c>
      <c r="G75" s="88" t="str">
        <f>FIXED('Copy of harian'!B80, 0, FALSE) &amp; " x Rp 170"</f>
        <v>16.677 x Rp 170</v>
      </c>
      <c r="H75" s="89">
        <f t="shared" si="12"/>
        <v>2835090</v>
      </c>
      <c r="I75" s="90" t="s">
        <v>179</v>
      </c>
      <c r="J75" s="91">
        <f>E80</f>
        <v>55034100</v>
      </c>
      <c r="K75" s="92" t="s">
        <v>322</v>
      </c>
      <c r="L75" s="93">
        <v>1000000.0</v>
      </c>
      <c r="M75" s="81"/>
      <c r="N75" s="82"/>
    </row>
    <row r="76">
      <c r="A76" s="69"/>
      <c r="B76" s="105">
        <v>3590.0</v>
      </c>
      <c r="C76" s="71" t="s">
        <v>163</v>
      </c>
      <c r="D76" s="72">
        <v>3300.0</v>
      </c>
      <c r="E76" s="73">
        <f t="shared" si="11"/>
        <v>11847000</v>
      </c>
      <c r="F76" s="74" t="s">
        <v>183</v>
      </c>
      <c r="G76" s="94"/>
      <c r="H76" s="95">
        <v>700000.0</v>
      </c>
      <c r="I76" s="77" t="s">
        <v>184</v>
      </c>
      <c r="J76" s="78">
        <f>IF(H90&gt;0, H90, "")</f>
        <v>56729330</v>
      </c>
      <c r="K76" s="79"/>
      <c r="L76" s="80"/>
      <c r="M76" s="81"/>
      <c r="N76" s="82"/>
    </row>
    <row r="77">
      <c r="A77" s="69"/>
      <c r="B77" s="124">
        <v>3802.0</v>
      </c>
      <c r="C77" s="84" t="s">
        <v>163</v>
      </c>
      <c r="D77" s="85">
        <v>3300.0</v>
      </c>
      <c r="E77" s="86">
        <f t="shared" si="11"/>
        <v>12546600</v>
      </c>
      <c r="F77" s="87" t="s">
        <v>188</v>
      </c>
      <c r="G77" s="96"/>
      <c r="H77" s="89">
        <v>200000.0</v>
      </c>
      <c r="I77" s="90" t="s">
        <v>166</v>
      </c>
      <c r="J77" s="91">
        <v>4000000.0</v>
      </c>
      <c r="K77" s="92"/>
      <c r="L77" s="93"/>
      <c r="M77" s="81"/>
      <c r="N77" s="82"/>
    </row>
    <row r="78">
      <c r="A78" s="69"/>
      <c r="B78" s="105"/>
      <c r="C78" s="71"/>
      <c r="D78" s="72"/>
      <c r="E78" s="73" t="str">
        <f t="shared" si="11"/>
        <v>⏳</v>
      </c>
      <c r="F78" s="97" t="s">
        <v>340</v>
      </c>
      <c r="G78" s="94" t="s">
        <v>341</v>
      </c>
      <c r="H78" s="95">
        <v>3.116E7</v>
      </c>
      <c r="I78" s="77" t="s">
        <v>195</v>
      </c>
      <c r="J78" s="78"/>
      <c r="K78" s="79"/>
      <c r="L78" s="80"/>
      <c r="M78" s="81"/>
      <c r="N78" s="82"/>
    </row>
    <row r="79">
      <c r="A79" s="69"/>
      <c r="B79" s="124"/>
      <c r="C79" s="84"/>
      <c r="D79" s="85"/>
      <c r="E79" s="86" t="str">
        <f t="shared" si="11"/>
        <v>⏳</v>
      </c>
      <c r="F79" s="87" t="s">
        <v>197</v>
      </c>
      <c r="G79" s="96" t="s">
        <v>343</v>
      </c>
      <c r="H79" s="89">
        <v>2225000.0</v>
      </c>
      <c r="I79" s="90"/>
      <c r="J79" s="91"/>
      <c r="K79" s="79"/>
      <c r="L79" s="80"/>
      <c r="M79" s="81"/>
      <c r="N79" s="82"/>
    </row>
    <row r="80">
      <c r="A80" s="69"/>
      <c r="B80" s="99">
        <f>SUBTOTAL(9, B74:B79)</f>
        <v>16677</v>
      </c>
      <c r="C80" s="100"/>
      <c r="D80" s="101"/>
      <c r="E80" s="102">
        <f>SUBTOTAL(9, E74:E79)</f>
        <v>55034100</v>
      </c>
      <c r="F80" s="74" t="s">
        <v>308</v>
      </c>
      <c r="G80" s="94" t="s">
        <v>309</v>
      </c>
      <c r="H80" s="95">
        <v>500000.0</v>
      </c>
      <c r="I80" s="103" t="s">
        <v>201</v>
      </c>
      <c r="J80" s="104">
        <f>IF(OR(B80=0, B80=""), 0, IFERROR(SUM(J74, J75, J78) - SUM(J76, J77) + J79, 0))</f>
        <v>26304770</v>
      </c>
      <c r="K80" s="79"/>
      <c r="L80" s="80"/>
      <c r="M80" s="81"/>
      <c r="N80" s="82"/>
    </row>
    <row r="81">
      <c r="A81" s="69"/>
      <c r="B81" s="105"/>
      <c r="F81" s="87" t="s">
        <v>347</v>
      </c>
      <c r="G81" s="96"/>
      <c r="H81" s="89">
        <v>270000.0</v>
      </c>
      <c r="I81" s="106" t="s">
        <v>205</v>
      </c>
      <c r="J81" s="125">
        <v>2.45E7</v>
      </c>
      <c r="K81" s="79"/>
      <c r="L81" s="80"/>
      <c r="M81" s="81"/>
      <c r="N81" s="82"/>
    </row>
    <row r="82">
      <c r="A82" s="69"/>
      <c r="F82" s="74" t="s">
        <v>200</v>
      </c>
      <c r="G82" s="94"/>
      <c r="H82" s="95">
        <v>220000.0</v>
      </c>
      <c r="I82" s="108" t="s">
        <v>208</v>
      </c>
      <c r="J82" s="109">
        <f>SUM(J80) - SUM(J81)</f>
        <v>1804770</v>
      </c>
      <c r="K82" s="79"/>
      <c r="L82" s="80"/>
      <c r="M82" s="81"/>
      <c r="N82" s="82"/>
    </row>
    <row r="83">
      <c r="A83" s="69"/>
      <c r="F83" s="87" t="s">
        <v>239</v>
      </c>
      <c r="G83" s="96" t="s">
        <v>247</v>
      </c>
      <c r="H83" s="89">
        <v>400000.0</v>
      </c>
      <c r="I83" s="77"/>
      <c r="J83" s="78"/>
      <c r="K83" s="79"/>
      <c r="L83" s="80"/>
      <c r="M83" s="81"/>
      <c r="N83" s="82"/>
    </row>
    <row r="84">
      <c r="A84" s="69"/>
      <c r="F84" s="97" t="s">
        <v>340</v>
      </c>
      <c r="G84" s="94" t="s">
        <v>350</v>
      </c>
      <c r="H84" s="95">
        <v>5460000.0</v>
      </c>
      <c r="I84" s="77"/>
      <c r="J84" s="78"/>
      <c r="K84" s="79"/>
      <c r="L84" s="80"/>
      <c r="M84" s="81"/>
      <c r="N84" s="82"/>
    </row>
    <row r="85">
      <c r="A85" s="69"/>
      <c r="F85" s="87" t="s">
        <v>352</v>
      </c>
      <c r="G85" s="96"/>
      <c r="H85" s="89">
        <v>2000000.0</v>
      </c>
      <c r="I85" s="126"/>
      <c r="J85" s="113"/>
      <c r="K85" s="79"/>
      <c r="L85" s="80"/>
      <c r="M85" s="81"/>
      <c r="N85" s="82"/>
    </row>
    <row r="86">
      <c r="A86" s="69"/>
      <c r="F86" s="74" t="s">
        <v>237</v>
      </c>
      <c r="G86" s="94" t="s">
        <v>353</v>
      </c>
      <c r="H86" s="95">
        <v>6000000.0</v>
      </c>
      <c r="I86" s="129" t="s">
        <v>213</v>
      </c>
      <c r="J86" s="130">
        <f>IF(OR(B80=0, B80=""), 0, IFERROR(E80-H90, 0))</f>
        <v>-1695230</v>
      </c>
      <c r="K86" s="79"/>
      <c r="L86" s="80"/>
      <c r="M86" s="81"/>
      <c r="N86" s="82"/>
    </row>
    <row r="87">
      <c r="A87" s="69"/>
      <c r="F87" s="87" t="s">
        <v>1973</v>
      </c>
      <c r="G87" s="96"/>
      <c r="H87" s="89">
        <v>2000000.0</v>
      </c>
      <c r="I87" s="77"/>
      <c r="J87" s="78"/>
      <c r="K87" s="79"/>
      <c r="L87" s="80"/>
      <c r="M87" s="81"/>
      <c r="N87" s="82"/>
    </row>
    <row r="88">
      <c r="A88" s="69"/>
      <c r="F88" s="74" t="s">
        <v>211</v>
      </c>
      <c r="G88" s="94"/>
      <c r="H88" s="95">
        <v>758000.0</v>
      </c>
      <c r="I88" s="77"/>
      <c r="J88" s="78"/>
      <c r="K88" s="79"/>
      <c r="L88" s="80"/>
      <c r="M88" s="81"/>
      <c r="N88" s="82"/>
    </row>
    <row r="89">
      <c r="A89" s="69"/>
      <c r="F89" s="87"/>
      <c r="G89" s="96"/>
      <c r="H89" s="89"/>
      <c r="I89" s="77"/>
      <c r="J89" s="78"/>
      <c r="K89" s="79"/>
      <c r="L89" s="80"/>
      <c r="M89" s="81"/>
      <c r="N89" s="82"/>
    </row>
    <row r="90">
      <c r="A90" s="69"/>
      <c r="F90" s="74"/>
      <c r="G90" s="116" t="s">
        <v>201</v>
      </c>
      <c r="H90" s="117">
        <f>SUBTOTAL(9, H74:H89)</f>
        <v>56729330</v>
      </c>
      <c r="I90" s="77"/>
      <c r="J90" s="78"/>
      <c r="K90" s="79"/>
      <c r="L90" s="80"/>
      <c r="M90" s="81"/>
      <c r="N90" s="82"/>
    </row>
    <row r="91">
      <c r="A91" s="118" t="s">
        <v>324</v>
      </c>
      <c r="B91" s="119" t="s">
        <v>215</v>
      </c>
      <c r="C91" s="120" t="s">
        <v>163</v>
      </c>
      <c r="D91" s="121" t="s">
        <v>8</v>
      </c>
      <c r="E91" s="121" t="s">
        <v>164</v>
      </c>
      <c r="F91" s="120" t="s">
        <v>216</v>
      </c>
      <c r="G91" s="120" t="s">
        <v>10</v>
      </c>
      <c r="H91" s="121" t="s">
        <v>164</v>
      </c>
      <c r="I91" s="122" t="s">
        <v>10</v>
      </c>
      <c r="J91" s="121" t="s">
        <v>164</v>
      </c>
      <c r="K91" s="120" t="s">
        <v>166</v>
      </c>
      <c r="L91" s="121" t="s">
        <v>164</v>
      </c>
      <c r="M91" s="81"/>
      <c r="N91" s="82"/>
    </row>
    <row r="92">
      <c r="A92" s="69" t="s">
        <v>1974</v>
      </c>
      <c r="B92" s="105">
        <v>3899.0</v>
      </c>
      <c r="C92" s="71" t="s">
        <v>163</v>
      </c>
      <c r="D92" s="72">
        <v>3210.0</v>
      </c>
      <c r="E92" s="73">
        <f t="shared" ref="E92:E97" si="13">IF(OR(B92="", D92=""), "⏳", B92*D92)</f>
        <v>12515790</v>
      </c>
      <c r="F92" s="74" t="s">
        <v>169</v>
      </c>
      <c r="G92" s="75" t="str">
        <f>FIXED('Copy of harian'!B98, 0, FALSE) &amp; " x Rp 120"</f>
        <v>30.204 x Rp 120</v>
      </c>
      <c r="H92" s="95">
        <f t="shared" ref="H92:H93" si="14">IF(OR(G92="", G92="---", NOT(ISNUMBER(SEARCH(" x ", G92)))), 0, VALUE(SUBSTITUTE(LEFT(G92, SEARCH(" x ", G92)-1), ".", "")) * VALUE(MID(G92, SEARCH(" x ", G92)+3, LEN(G92))))</f>
        <v>3624480</v>
      </c>
      <c r="I92" s="77" t="s">
        <v>172</v>
      </c>
      <c r="J92" s="78">
        <v>1804770.0</v>
      </c>
      <c r="K92" s="79" t="s">
        <v>291</v>
      </c>
      <c r="L92" s="80">
        <v>500000.0</v>
      </c>
      <c r="M92" s="81"/>
      <c r="N92" s="82"/>
    </row>
    <row r="93">
      <c r="A93" s="69"/>
      <c r="B93" s="124">
        <v>5810.0</v>
      </c>
      <c r="C93" s="84" t="s">
        <v>163</v>
      </c>
      <c r="D93" s="85">
        <v>3210.0</v>
      </c>
      <c r="E93" s="86">
        <f t="shared" si="13"/>
        <v>18650100</v>
      </c>
      <c r="F93" s="87" t="s">
        <v>176</v>
      </c>
      <c r="G93" s="88" t="str">
        <f>FIXED('Copy of harian'!B98, 0, FALSE) &amp; " x Rp 170"</f>
        <v>30.204 x Rp 170</v>
      </c>
      <c r="H93" s="89">
        <f t="shared" si="14"/>
        <v>5134680</v>
      </c>
      <c r="I93" s="90" t="s">
        <v>225</v>
      </c>
      <c r="J93" s="91">
        <f>E98</f>
        <v>102378720</v>
      </c>
      <c r="K93" s="92" t="s">
        <v>322</v>
      </c>
      <c r="L93" s="93">
        <v>1000000.0</v>
      </c>
      <c r="M93" s="81"/>
      <c r="N93" s="82"/>
    </row>
    <row r="94">
      <c r="A94" s="69"/>
      <c r="B94" s="105">
        <v>4982.0</v>
      </c>
      <c r="C94" s="71" t="s">
        <v>163</v>
      </c>
      <c r="D94" s="72">
        <v>3240.0</v>
      </c>
      <c r="E94" s="73">
        <f t="shared" si="13"/>
        <v>16141680</v>
      </c>
      <c r="F94" s="74" t="s">
        <v>183</v>
      </c>
      <c r="G94" s="94"/>
      <c r="H94" s="95">
        <v>1400000.0</v>
      </c>
      <c r="I94" s="77" t="s">
        <v>229</v>
      </c>
      <c r="J94" s="78">
        <f>IF(H108&gt;0, H108, "")</f>
        <v>54321160</v>
      </c>
      <c r="K94" s="79" t="s">
        <v>322</v>
      </c>
      <c r="L94" s="80">
        <v>2000000.0</v>
      </c>
      <c r="M94" s="81"/>
      <c r="N94" s="82"/>
    </row>
    <row r="95">
      <c r="A95" s="69" t="s">
        <v>1975</v>
      </c>
      <c r="B95" s="131">
        <v>6668.0</v>
      </c>
      <c r="C95" s="84" t="s">
        <v>163</v>
      </c>
      <c r="D95" s="85">
        <v>3550.0</v>
      </c>
      <c r="E95" s="86">
        <f t="shared" si="13"/>
        <v>23671400</v>
      </c>
      <c r="F95" s="87" t="s">
        <v>188</v>
      </c>
      <c r="G95" s="96"/>
      <c r="H95" s="89">
        <v>300000.0</v>
      </c>
      <c r="I95" s="90" t="s">
        <v>166</v>
      </c>
      <c r="J95" s="91">
        <v>4500000.0</v>
      </c>
      <c r="K95" s="92" t="s">
        <v>370</v>
      </c>
      <c r="L95" s="93">
        <v>4000000.0</v>
      </c>
      <c r="M95" s="81"/>
      <c r="N95" s="82"/>
    </row>
    <row r="96">
      <c r="A96" s="69"/>
      <c r="B96" s="131">
        <v>3539.0</v>
      </c>
      <c r="C96" s="71" t="s">
        <v>163</v>
      </c>
      <c r="D96" s="72">
        <v>3550.0</v>
      </c>
      <c r="E96" s="73">
        <f t="shared" si="13"/>
        <v>12563450</v>
      </c>
      <c r="F96" s="74" t="s">
        <v>373</v>
      </c>
      <c r="G96" s="94" t="s">
        <v>247</v>
      </c>
      <c r="H96" s="95">
        <v>1200000.0</v>
      </c>
      <c r="I96" s="77" t="s">
        <v>195</v>
      </c>
      <c r="J96" s="78">
        <v>4000000.0</v>
      </c>
      <c r="K96" s="79"/>
      <c r="L96" s="80"/>
      <c r="M96" s="81"/>
      <c r="N96" s="82"/>
    </row>
    <row r="97">
      <c r="A97" s="69"/>
      <c r="B97" s="131">
        <v>5306.0</v>
      </c>
      <c r="C97" s="84" t="s">
        <v>163</v>
      </c>
      <c r="D97" s="85">
        <v>3550.0</v>
      </c>
      <c r="E97" s="86">
        <f t="shared" si="13"/>
        <v>18836300</v>
      </c>
      <c r="F97" s="87" t="s">
        <v>239</v>
      </c>
      <c r="G97" s="96" t="s">
        <v>247</v>
      </c>
      <c r="H97" s="89">
        <v>1800000.0</v>
      </c>
      <c r="I97" s="90"/>
      <c r="J97" s="91"/>
      <c r="K97" s="79"/>
      <c r="L97" s="80"/>
      <c r="M97" s="81"/>
      <c r="N97" s="82"/>
    </row>
    <row r="98">
      <c r="A98" s="69"/>
      <c r="B98" s="99">
        <f>SUBTOTAL(9, B92:B97)</f>
        <v>30204</v>
      </c>
      <c r="C98" s="100"/>
      <c r="D98" s="101"/>
      <c r="E98" s="132">
        <f>SUBTOTAL(9, E92:E97)</f>
        <v>102378720</v>
      </c>
      <c r="F98" s="74" t="s">
        <v>200</v>
      </c>
      <c r="G98" s="94"/>
      <c r="H98" s="95">
        <v>220000.0</v>
      </c>
      <c r="I98" s="103" t="s">
        <v>201</v>
      </c>
      <c r="J98" s="104">
        <f>IF(OR(B98=0, B98=""), 0, IFERROR(SUM(J92, J93, J96) - SUM(J94, J95) + J97, 0))</f>
        <v>49362330</v>
      </c>
      <c r="K98" s="79"/>
      <c r="L98" s="80"/>
      <c r="M98" s="81"/>
      <c r="N98" s="82"/>
    </row>
    <row r="99">
      <c r="A99" s="69"/>
      <c r="B99" s="105"/>
      <c r="F99" s="87" t="s">
        <v>355</v>
      </c>
      <c r="G99" s="96"/>
      <c r="H99" s="89">
        <v>3000000.0</v>
      </c>
      <c r="I99" s="106" t="s">
        <v>205</v>
      </c>
      <c r="J99" s="125">
        <v>4.9E7</v>
      </c>
      <c r="K99" s="79"/>
      <c r="L99" s="80"/>
      <c r="M99" s="81"/>
      <c r="N99" s="82"/>
    </row>
    <row r="100">
      <c r="A100" s="69"/>
      <c r="F100" s="74" t="s">
        <v>382</v>
      </c>
      <c r="G100" s="94"/>
      <c r="H100" s="95">
        <v>1098000.0</v>
      </c>
      <c r="I100" s="108" t="s">
        <v>208</v>
      </c>
      <c r="J100" s="109">
        <f>SUM(J98) - SUM(J99)</f>
        <v>362330</v>
      </c>
      <c r="K100" s="79"/>
      <c r="L100" s="80"/>
      <c r="M100" s="81"/>
      <c r="N100" s="82"/>
    </row>
    <row r="101">
      <c r="A101" s="69"/>
      <c r="F101" s="87" t="s">
        <v>233</v>
      </c>
      <c r="G101" s="96"/>
      <c r="H101" s="89">
        <v>4500000.0</v>
      </c>
      <c r="I101" s="77"/>
      <c r="J101" s="78"/>
      <c r="K101" s="79"/>
      <c r="L101" s="80"/>
      <c r="M101" s="81"/>
      <c r="N101" s="82"/>
    </row>
    <row r="102">
      <c r="A102" s="69"/>
      <c r="F102" s="74" t="s">
        <v>239</v>
      </c>
      <c r="G102" s="94"/>
      <c r="H102" s="95">
        <v>6375000.0</v>
      </c>
      <c r="I102" s="77"/>
      <c r="J102" s="78"/>
      <c r="K102" s="79"/>
      <c r="L102" s="80"/>
      <c r="M102" s="81"/>
      <c r="N102" s="82"/>
    </row>
    <row r="103">
      <c r="A103" s="69"/>
      <c r="F103" s="87" t="s">
        <v>192</v>
      </c>
      <c r="G103" s="96" t="s">
        <v>385</v>
      </c>
      <c r="H103" s="89">
        <v>1560000.0</v>
      </c>
      <c r="I103" s="126"/>
      <c r="J103" s="113"/>
      <c r="K103" s="79"/>
      <c r="L103" s="80"/>
      <c r="M103" s="81"/>
      <c r="N103" s="82"/>
    </row>
    <row r="104">
      <c r="A104" s="69"/>
      <c r="F104" s="97" t="s">
        <v>387</v>
      </c>
      <c r="G104" s="94" t="s">
        <v>388</v>
      </c>
      <c r="H104" s="95">
        <v>1.4076E7</v>
      </c>
      <c r="I104" s="129" t="s">
        <v>213</v>
      </c>
      <c r="J104" s="130">
        <f>IF(OR(B98=0, B98=""), 0, IFERROR(E98-H108, 0))</f>
        <v>48057560</v>
      </c>
      <c r="K104" s="79"/>
      <c r="L104" s="80"/>
      <c r="M104" s="81"/>
      <c r="N104" s="82"/>
    </row>
    <row r="105">
      <c r="A105" s="69"/>
      <c r="F105" s="87" t="s">
        <v>391</v>
      </c>
      <c r="G105" s="96"/>
      <c r="H105" s="89">
        <v>400000.0</v>
      </c>
      <c r="I105" s="77"/>
      <c r="J105" s="78"/>
      <c r="K105" s="79"/>
      <c r="L105" s="80"/>
      <c r="M105" s="81"/>
      <c r="N105" s="82"/>
    </row>
    <row r="106">
      <c r="A106" s="69"/>
      <c r="F106" s="74" t="s">
        <v>392</v>
      </c>
      <c r="G106" s="94"/>
      <c r="H106" s="95">
        <v>7500000.0</v>
      </c>
      <c r="I106" s="77"/>
      <c r="J106" s="78"/>
      <c r="K106" s="79"/>
      <c r="L106" s="80"/>
      <c r="M106" s="81"/>
      <c r="N106" s="82"/>
    </row>
    <row r="107">
      <c r="A107" s="69"/>
      <c r="F107" s="87" t="s">
        <v>394</v>
      </c>
      <c r="G107" s="96"/>
      <c r="H107" s="89">
        <v>2133000.0</v>
      </c>
      <c r="I107" s="77"/>
      <c r="J107" s="78"/>
      <c r="K107" s="79"/>
      <c r="L107" s="80"/>
      <c r="M107" s="81"/>
      <c r="N107" s="82"/>
    </row>
    <row r="108">
      <c r="A108" s="69"/>
      <c r="F108" s="74"/>
      <c r="G108" s="116" t="s">
        <v>201</v>
      </c>
      <c r="H108" s="117">
        <f>SUBTOTAL(9, H92:H107)</f>
        <v>54321160</v>
      </c>
      <c r="I108" s="77"/>
      <c r="J108" s="78"/>
      <c r="K108" s="79"/>
      <c r="L108" s="80"/>
      <c r="M108" s="81"/>
      <c r="N108" s="82"/>
    </row>
    <row r="109">
      <c r="A109" s="118" t="s">
        <v>324</v>
      </c>
      <c r="B109" s="119" t="s">
        <v>215</v>
      </c>
      <c r="C109" s="120" t="s">
        <v>163</v>
      </c>
      <c r="D109" s="121" t="s">
        <v>8</v>
      </c>
      <c r="E109" s="121" t="s">
        <v>164</v>
      </c>
      <c r="F109" s="120" t="s">
        <v>396</v>
      </c>
      <c r="G109" s="120" t="s">
        <v>10</v>
      </c>
      <c r="H109" s="121" t="s">
        <v>164</v>
      </c>
      <c r="I109" s="122" t="s">
        <v>10</v>
      </c>
      <c r="J109" s="121" t="s">
        <v>164</v>
      </c>
      <c r="K109" s="120" t="s">
        <v>166</v>
      </c>
      <c r="L109" s="121" t="s">
        <v>164</v>
      </c>
      <c r="M109" s="81"/>
      <c r="N109" s="82"/>
    </row>
    <row r="110">
      <c r="A110" s="69" t="s">
        <v>1976</v>
      </c>
      <c r="B110" s="105">
        <v>4093.0</v>
      </c>
      <c r="C110" s="71" t="s">
        <v>163</v>
      </c>
      <c r="D110" s="72">
        <v>3570.0</v>
      </c>
      <c r="E110" s="73">
        <f t="shared" ref="E110:E115" si="15">IF(OR(B110="", D110=""), "⏳", B110*D110)</f>
        <v>14612010</v>
      </c>
      <c r="F110" s="74" t="s">
        <v>169</v>
      </c>
      <c r="G110" s="75" t="str">
        <f>FIXED('Copy of harian'!B116, 0, FALSE) &amp; " x Rp 120"</f>
        <v>22.106 x Rp 120</v>
      </c>
      <c r="H110" s="95">
        <f t="shared" ref="H110:H111" si="16">IF(OR(G110="", G110="---", NOT(ISNUMBER(SEARCH(" x ", G110)))), 0, VALUE(SUBSTITUTE(LEFT(G110, SEARCH(" x ", G110)-1), ".", "")) * VALUE(MID(G110, SEARCH(" x ", G110)+3, LEN(G110))))</f>
        <v>2652720</v>
      </c>
      <c r="I110" s="77" t="s">
        <v>172</v>
      </c>
      <c r="J110" s="78"/>
      <c r="K110" s="79" t="s">
        <v>291</v>
      </c>
      <c r="L110" s="80">
        <v>500000.0</v>
      </c>
      <c r="M110" s="81"/>
      <c r="N110" s="82"/>
    </row>
    <row r="111">
      <c r="A111" s="69"/>
      <c r="B111" s="124">
        <v>7983.0</v>
      </c>
      <c r="C111" s="84" t="s">
        <v>163</v>
      </c>
      <c r="D111" s="85">
        <v>3540.0</v>
      </c>
      <c r="E111" s="86">
        <f t="shared" si="15"/>
        <v>28259820</v>
      </c>
      <c r="F111" s="87" t="s">
        <v>176</v>
      </c>
      <c r="G111" s="88" t="str">
        <f>FIXED('Copy of harian'!B116, 0, FALSE) &amp; " x Rp 170"</f>
        <v>22.106 x Rp 170</v>
      </c>
      <c r="H111" s="89">
        <f t="shared" si="16"/>
        <v>3758020</v>
      </c>
      <c r="I111" s="90" t="s">
        <v>179</v>
      </c>
      <c r="J111" s="91">
        <f>E116</f>
        <v>78506370</v>
      </c>
      <c r="K111" s="92" t="s">
        <v>406</v>
      </c>
      <c r="L111" s="93">
        <v>1000000.0</v>
      </c>
      <c r="M111" s="81"/>
      <c r="N111" s="82"/>
    </row>
    <row r="112">
      <c r="A112" s="69"/>
      <c r="B112" s="105">
        <v>5752.0</v>
      </c>
      <c r="C112" s="71" t="s">
        <v>163</v>
      </c>
      <c r="D112" s="72">
        <v>3540.0</v>
      </c>
      <c r="E112" s="73">
        <f t="shared" si="15"/>
        <v>20362080</v>
      </c>
      <c r="F112" s="74" t="s">
        <v>183</v>
      </c>
      <c r="G112" s="94"/>
      <c r="H112" s="95">
        <v>700000.0</v>
      </c>
      <c r="I112" s="77" t="s">
        <v>184</v>
      </c>
      <c r="J112" s="78">
        <f>IF(H126&gt;0, H126, "")</f>
        <v>44351740</v>
      </c>
      <c r="K112" s="79" t="s">
        <v>406</v>
      </c>
      <c r="L112" s="80">
        <v>2000000.0</v>
      </c>
      <c r="M112" s="81"/>
      <c r="N112" s="82"/>
    </row>
    <row r="113">
      <c r="A113" s="69"/>
      <c r="B113" s="124">
        <v>4278.0</v>
      </c>
      <c r="C113" s="84" t="s">
        <v>163</v>
      </c>
      <c r="D113" s="85">
        <v>3570.0</v>
      </c>
      <c r="E113" s="86">
        <f t="shared" si="15"/>
        <v>15272460</v>
      </c>
      <c r="F113" s="87" t="s">
        <v>188</v>
      </c>
      <c r="G113" s="96"/>
      <c r="H113" s="89">
        <v>150000.0</v>
      </c>
      <c r="I113" s="90" t="s">
        <v>166</v>
      </c>
      <c r="J113" s="91"/>
      <c r="K113" s="92" t="s">
        <v>412</v>
      </c>
      <c r="L113" s="93">
        <v>3000000.0</v>
      </c>
      <c r="M113" s="81"/>
      <c r="N113" s="82"/>
    </row>
    <row r="114">
      <c r="A114" s="69"/>
      <c r="B114" s="105"/>
      <c r="C114" s="71"/>
      <c r="D114" s="72"/>
      <c r="E114" s="73" t="str">
        <f t="shared" si="15"/>
        <v>⏳</v>
      </c>
      <c r="F114" s="74" t="s">
        <v>413</v>
      </c>
      <c r="G114" s="94"/>
      <c r="H114" s="95">
        <v>220000.0</v>
      </c>
      <c r="I114" s="77" t="s">
        <v>195</v>
      </c>
      <c r="J114" s="78">
        <v>4500000.0</v>
      </c>
      <c r="K114" s="79" t="s">
        <v>370</v>
      </c>
      <c r="L114" s="80">
        <v>4500000.0</v>
      </c>
      <c r="M114" s="81"/>
      <c r="N114" s="82"/>
    </row>
    <row r="115">
      <c r="A115" s="69"/>
      <c r="B115" s="124"/>
      <c r="C115" s="84"/>
      <c r="D115" s="85"/>
      <c r="E115" s="86" t="str">
        <f t="shared" si="15"/>
        <v>⏳</v>
      </c>
      <c r="F115" s="87" t="s">
        <v>414</v>
      </c>
      <c r="G115" s="96" t="s">
        <v>415</v>
      </c>
      <c r="H115" s="89">
        <v>1500000.0</v>
      </c>
      <c r="I115" s="90"/>
      <c r="J115" s="91"/>
      <c r="K115" s="79"/>
      <c r="L115" s="80"/>
      <c r="M115" s="81"/>
      <c r="N115" s="82"/>
    </row>
    <row r="116">
      <c r="A116" s="69"/>
      <c r="B116" s="99">
        <f>SUBTOTAL(9, B110:B115)</f>
        <v>22106</v>
      </c>
      <c r="C116" s="100"/>
      <c r="D116" s="101"/>
      <c r="E116" s="132">
        <f>SUBTOTAL(9, E110:E115)</f>
        <v>78506370</v>
      </c>
      <c r="F116" s="97" t="s">
        <v>417</v>
      </c>
      <c r="G116" s="94" t="s">
        <v>418</v>
      </c>
      <c r="H116" s="95">
        <v>1.3846E7</v>
      </c>
      <c r="I116" s="103" t="s">
        <v>201</v>
      </c>
      <c r="J116" s="104">
        <f>IF(OR(B116=0, B116=""), 0, IFERROR(SUM(J110, J111, J114) - SUM(J112, J113) + J115, 0))</f>
        <v>38654630</v>
      </c>
      <c r="K116" s="79"/>
      <c r="L116" s="80"/>
      <c r="M116" s="81"/>
      <c r="N116" s="82"/>
    </row>
    <row r="117">
      <c r="A117" s="69"/>
      <c r="B117" s="105"/>
      <c r="F117" s="87" t="s">
        <v>421</v>
      </c>
      <c r="G117" s="96"/>
      <c r="H117" s="89">
        <v>450000.0</v>
      </c>
      <c r="I117" s="106" t="s">
        <v>205</v>
      </c>
      <c r="J117" s="125">
        <v>3.8E7</v>
      </c>
      <c r="K117" s="79"/>
      <c r="L117" s="80"/>
      <c r="M117" s="81"/>
      <c r="N117" s="82"/>
    </row>
    <row r="118">
      <c r="A118" s="69"/>
      <c r="F118" s="74" t="s">
        <v>239</v>
      </c>
      <c r="G118" s="94" t="s">
        <v>423</v>
      </c>
      <c r="H118" s="95">
        <v>1.2375E7</v>
      </c>
      <c r="I118" s="108" t="s">
        <v>208</v>
      </c>
      <c r="J118" s="109">
        <f>SUM(J116) - SUM(J117)</f>
        <v>654630</v>
      </c>
      <c r="K118" s="79"/>
      <c r="L118" s="80"/>
      <c r="M118" s="81"/>
      <c r="N118" s="82"/>
    </row>
    <row r="119">
      <c r="A119" s="69"/>
      <c r="F119" s="87" t="s">
        <v>425</v>
      </c>
      <c r="G119" s="96"/>
      <c r="H119" s="89">
        <v>750000.0</v>
      </c>
      <c r="I119" s="77"/>
      <c r="J119" s="78"/>
      <c r="K119" s="79"/>
      <c r="L119" s="80"/>
      <c r="M119" s="81"/>
      <c r="N119" s="82"/>
    </row>
    <row r="120">
      <c r="A120" s="69"/>
      <c r="F120" s="74" t="s">
        <v>426</v>
      </c>
      <c r="G120" s="94"/>
      <c r="H120" s="95">
        <v>4500000.0</v>
      </c>
      <c r="I120" s="77"/>
      <c r="J120" s="78"/>
      <c r="K120" s="79"/>
      <c r="L120" s="80"/>
      <c r="M120" s="81"/>
      <c r="N120" s="82"/>
    </row>
    <row r="121">
      <c r="A121" s="69"/>
      <c r="F121" s="87" t="s">
        <v>427</v>
      </c>
      <c r="G121" s="96"/>
      <c r="H121" s="89">
        <v>350000.0</v>
      </c>
      <c r="I121" s="126"/>
      <c r="J121" s="113"/>
      <c r="K121" s="79"/>
      <c r="L121" s="80"/>
      <c r="M121" s="81"/>
      <c r="N121" s="82"/>
    </row>
    <row r="122">
      <c r="A122" s="69"/>
      <c r="F122" s="74" t="s">
        <v>1977</v>
      </c>
      <c r="G122" s="94"/>
      <c r="H122" s="95">
        <v>500000.0</v>
      </c>
      <c r="I122" s="129" t="s">
        <v>213</v>
      </c>
      <c r="J122" s="130">
        <f>IF(OR(B116=0, B116=""), 0, IFERROR(E116-H126, 0))</f>
        <v>34154630</v>
      </c>
      <c r="K122" s="79"/>
      <c r="L122" s="80"/>
      <c r="M122" s="81"/>
      <c r="N122" s="82"/>
    </row>
    <row r="123">
      <c r="A123" s="69"/>
      <c r="F123" s="87" t="s">
        <v>243</v>
      </c>
      <c r="G123" s="96"/>
      <c r="H123" s="89">
        <v>750000.0</v>
      </c>
      <c r="I123" s="77"/>
      <c r="J123" s="78"/>
      <c r="K123" s="79"/>
      <c r="L123" s="80"/>
      <c r="M123" s="81"/>
      <c r="N123" s="82"/>
    </row>
    <row r="124">
      <c r="A124" s="69"/>
      <c r="F124" s="74" t="s">
        <v>429</v>
      </c>
      <c r="G124" s="94"/>
      <c r="H124" s="95">
        <v>1850000.0</v>
      </c>
      <c r="I124" s="77"/>
      <c r="J124" s="78"/>
      <c r="K124" s="79"/>
      <c r="L124" s="80"/>
      <c r="M124" s="81"/>
      <c r="N124" s="82"/>
    </row>
    <row r="125">
      <c r="A125" s="69"/>
      <c r="F125" s="87"/>
      <c r="G125" s="96"/>
      <c r="H125" s="89"/>
      <c r="I125" s="77"/>
      <c r="J125" s="78"/>
      <c r="K125" s="79"/>
      <c r="L125" s="80"/>
      <c r="M125" s="81"/>
      <c r="N125" s="82"/>
    </row>
    <row r="126">
      <c r="A126" s="69"/>
      <c r="F126" s="74"/>
      <c r="G126" s="116" t="s">
        <v>201</v>
      </c>
      <c r="H126" s="117">
        <f>SUBTOTAL(9, H110:H125)</f>
        <v>44351740</v>
      </c>
      <c r="I126" s="77"/>
      <c r="J126" s="78"/>
      <c r="K126" s="79"/>
      <c r="L126" s="80"/>
      <c r="M126" s="81"/>
      <c r="N126" s="82"/>
    </row>
    <row r="127">
      <c r="A127" s="118" t="s">
        <v>431</v>
      </c>
      <c r="B127" s="119" t="s">
        <v>162</v>
      </c>
      <c r="C127" s="120" t="s">
        <v>163</v>
      </c>
      <c r="D127" s="121" t="s">
        <v>8</v>
      </c>
      <c r="E127" s="121" t="s">
        <v>164</v>
      </c>
      <c r="F127" s="120" t="s">
        <v>165</v>
      </c>
      <c r="G127" s="120" t="s">
        <v>10</v>
      </c>
      <c r="H127" s="121" t="s">
        <v>164</v>
      </c>
      <c r="I127" s="122" t="s">
        <v>10</v>
      </c>
      <c r="J127" s="121" t="s">
        <v>164</v>
      </c>
      <c r="K127" s="120" t="s">
        <v>166</v>
      </c>
      <c r="L127" s="121" t="s">
        <v>164</v>
      </c>
      <c r="M127" s="81"/>
      <c r="N127" s="82"/>
    </row>
    <row r="128">
      <c r="A128" s="69" t="s">
        <v>1978</v>
      </c>
      <c r="B128" s="105">
        <v>3348.0</v>
      </c>
      <c r="C128" s="71" t="s">
        <v>163</v>
      </c>
      <c r="D128" s="72">
        <v>3690.0</v>
      </c>
      <c r="E128" s="73">
        <f t="shared" ref="E128:E133" si="17">IF(OR(B128="", D128=""), "⏳", B128*D128)</f>
        <v>12354120</v>
      </c>
      <c r="F128" s="74" t="s">
        <v>169</v>
      </c>
      <c r="G128" s="75" t="str">
        <f>FIXED('Copy of harian'!B134, 0, FALSE) &amp; " x Rp 120"</f>
        <v>23.583 x Rp 120</v>
      </c>
      <c r="H128" s="95">
        <f t="shared" ref="H128:H129" si="18">IF(OR(G128="", G128="---", NOT(ISNUMBER(SEARCH(" x ", G128)))), 0, VALUE(SUBSTITUTE(LEFT(G128, SEARCH(" x ", G128)-1), ".", "")) * VALUE(MID(G128, SEARCH(" x ", G128)+3, LEN(G128))))</f>
        <v>2829960</v>
      </c>
      <c r="I128" s="77" t="s">
        <v>172</v>
      </c>
      <c r="J128" s="78"/>
      <c r="K128" s="79" t="s">
        <v>291</v>
      </c>
      <c r="L128" s="80">
        <v>500000.0</v>
      </c>
      <c r="M128" s="81"/>
      <c r="N128" s="82"/>
    </row>
    <row r="129">
      <c r="A129" s="69"/>
      <c r="B129" s="124">
        <v>4462.0</v>
      </c>
      <c r="C129" s="84" t="s">
        <v>163</v>
      </c>
      <c r="D129" s="85">
        <v>3690.0</v>
      </c>
      <c r="E129" s="86">
        <f t="shared" si="17"/>
        <v>16464780</v>
      </c>
      <c r="F129" s="87" t="s">
        <v>176</v>
      </c>
      <c r="G129" s="88" t="str">
        <f>FIXED('Copy of harian'!B134, 0, FALSE) &amp; " x Rp 170"</f>
        <v>23.583 x Rp 170</v>
      </c>
      <c r="H129" s="89">
        <f t="shared" si="18"/>
        <v>4009110</v>
      </c>
      <c r="I129" s="90" t="s">
        <v>225</v>
      </c>
      <c r="J129" s="91">
        <f>E134</f>
        <v>86390350</v>
      </c>
      <c r="K129" s="92" t="s">
        <v>1979</v>
      </c>
      <c r="L129" s="93">
        <v>3000000.0</v>
      </c>
      <c r="M129" s="81"/>
      <c r="N129" s="82"/>
    </row>
    <row r="130">
      <c r="A130" s="69"/>
      <c r="B130" s="105">
        <v>5297.0</v>
      </c>
      <c r="C130" s="71" t="s">
        <v>163</v>
      </c>
      <c r="D130" s="72">
        <v>3650.0</v>
      </c>
      <c r="E130" s="73">
        <f t="shared" si="17"/>
        <v>19334050</v>
      </c>
      <c r="F130" s="74" t="s">
        <v>183</v>
      </c>
      <c r="G130" s="94"/>
      <c r="H130" s="95">
        <v>700000.0</v>
      </c>
      <c r="I130" s="77" t="s">
        <v>229</v>
      </c>
      <c r="J130" s="78">
        <f>IF(H144&gt;0, H144, "")</f>
        <v>28372070</v>
      </c>
      <c r="K130" s="79" t="s">
        <v>406</v>
      </c>
      <c r="L130" s="80">
        <v>3000000.0</v>
      </c>
      <c r="M130" s="81"/>
      <c r="N130" s="82"/>
    </row>
    <row r="131">
      <c r="A131" s="69"/>
      <c r="B131" s="124">
        <v>3812.0</v>
      </c>
      <c r="C131" s="84" t="s">
        <v>163</v>
      </c>
      <c r="D131" s="85">
        <v>3650.0</v>
      </c>
      <c r="E131" s="86">
        <f t="shared" si="17"/>
        <v>13913800</v>
      </c>
      <c r="F131" s="87" t="s">
        <v>188</v>
      </c>
      <c r="G131" s="96"/>
      <c r="H131" s="89">
        <v>250000.0</v>
      </c>
      <c r="I131" s="90" t="s">
        <v>166</v>
      </c>
      <c r="J131" s="91">
        <v>2000000.0</v>
      </c>
      <c r="K131" s="92"/>
      <c r="L131" s="93"/>
      <c r="M131" s="81"/>
      <c r="N131" s="82"/>
    </row>
    <row r="132">
      <c r="A132" s="69"/>
      <c r="B132" s="105">
        <v>6664.0</v>
      </c>
      <c r="C132" s="71" t="s">
        <v>163</v>
      </c>
      <c r="D132" s="72">
        <v>3650.0</v>
      </c>
      <c r="E132" s="73">
        <f t="shared" si="17"/>
        <v>24323600</v>
      </c>
      <c r="F132" s="74" t="s">
        <v>449</v>
      </c>
      <c r="G132" s="94"/>
      <c r="H132" s="95">
        <v>1890000.0</v>
      </c>
      <c r="I132" s="77" t="s">
        <v>195</v>
      </c>
      <c r="J132" s="78"/>
      <c r="K132" s="79"/>
      <c r="L132" s="80"/>
      <c r="M132" s="81"/>
      <c r="N132" s="82"/>
    </row>
    <row r="133">
      <c r="A133" s="69"/>
      <c r="B133" s="124"/>
      <c r="C133" s="84"/>
      <c r="D133" s="85"/>
      <c r="E133" s="86" t="str">
        <f t="shared" si="17"/>
        <v>⏳</v>
      </c>
      <c r="F133" s="87" t="s">
        <v>451</v>
      </c>
      <c r="G133" s="96" t="s">
        <v>452</v>
      </c>
      <c r="H133" s="89">
        <v>4500000.0</v>
      </c>
      <c r="I133" s="90"/>
      <c r="J133" s="91"/>
      <c r="K133" s="79"/>
      <c r="L133" s="80"/>
      <c r="M133" s="81"/>
      <c r="N133" s="82"/>
    </row>
    <row r="134">
      <c r="A134" s="69"/>
      <c r="B134" s="99">
        <f>SUBTOTAL(9, B128:B133)</f>
        <v>23583</v>
      </c>
      <c r="C134" s="100"/>
      <c r="D134" s="101"/>
      <c r="E134" s="132">
        <f>SUBTOTAL(9, E128:E133)</f>
        <v>86390350</v>
      </c>
      <c r="F134" s="74" t="s">
        <v>454</v>
      </c>
      <c r="G134" s="94" t="s">
        <v>455</v>
      </c>
      <c r="H134" s="95">
        <v>810000.0</v>
      </c>
      <c r="I134" s="103" t="s">
        <v>201</v>
      </c>
      <c r="J134" s="104">
        <f>IF(OR(B134=0, B134=""), 0, IFERROR(SUM(J128, J129, J132) - SUM(J130, J131) + J133, 0))</f>
        <v>56018280</v>
      </c>
      <c r="K134" s="79"/>
      <c r="L134" s="80"/>
      <c r="M134" s="81"/>
      <c r="N134" s="82"/>
    </row>
    <row r="135">
      <c r="A135" s="69"/>
      <c r="B135" s="105"/>
      <c r="F135" s="87" t="s">
        <v>457</v>
      </c>
      <c r="G135" s="96"/>
      <c r="H135" s="89">
        <v>2800000.0</v>
      </c>
      <c r="I135" s="106" t="s">
        <v>205</v>
      </c>
      <c r="J135" s="125">
        <v>3.7E7</v>
      </c>
      <c r="K135" s="79"/>
      <c r="L135" s="80"/>
      <c r="M135" s="81"/>
      <c r="N135" s="82"/>
    </row>
    <row r="136">
      <c r="A136" s="69"/>
      <c r="F136" s="74" t="s">
        <v>460</v>
      </c>
      <c r="G136" s="94"/>
      <c r="H136" s="95">
        <v>1060000.0</v>
      </c>
      <c r="I136" s="108" t="s">
        <v>208</v>
      </c>
      <c r="J136" s="109">
        <f>SUM(J134) - SUM(J135)</f>
        <v>19018280</v>
      </c>
      <c r="K136" s="79"/>
      <c r="L136" s="80"/>
      <c r="M136" s="81"/>
      <c r="N136" s="82"/>
    </row>
    <row r="137">
      <c r="A137" s="69"/>
      <c r="F137" s="87" t="s">
        <v>239</v>
      </c>
      <c r="G137" s="96" t="s">
        <v>463</v>
      </c>
      <c r="H137" s="89">
        <v>2250000.0</v>
      </c>
      <c r="I137" s="77"/>
      <c r="J137" s="78"/>
      <c r="K137" s="79"/>
      <c r="L137" s="80"/>
      <c r="M137" s="81"/>
      <c r="N137" s="82"/>
    </row>
    <row r="138">
      <c r="A138" s="69"/>
      <c r="F138" s="74" t="s">
        <v>465</v>
      </c>
      <c r="G138" s="94" t="s">
        <v>466</v>
      </c>
      <c r="H138" s="95">
        <v>6050000.0</v>
      </c>
      <c r="I138" s="77"/>
      <c r="J138" s="78"/>
      <c r="K138" s="79"/>
      <c r="L138" s="80"/>
      <c r="M138" s="81"/>
      <c r="N138" s="82"/>
    </row>
    <row r="139">
      <c r="A139" s="69"/>
      <c r="F139" s="87" t="s">
        <v>1967</v>
      </c>
      <c r="G139" s="96"/>
      <c r="H139" s="89">
        <v>1223000.0</v>
      </c>
      <c r="I139" s="126"/>
      <c r="J139" s="113"/>
      <c r="K139" s="79"/>
      <c r="L139" s="80"/>
      <c r="M139" s="81"/>
      <c r="N139" s="82"/>
    </row>
    <row r="140">
      <c r="A140" s="69"/>
      <c r="F140" s="74"/>
      <c r="G140" s="94"/>
      <c r="H140" s="95"/>
      <c r="I140" s="129" t="s">
        <v>213</v>
      </c>
      <c r="J140" s="130">
        <f>IF(OR(B134=0, B134=""), 0, IFERROR(E134-H144, 0))</f>
        <v>58018280</v>
      </c>
      <c r="K140" s="79"/>
      <c r="L140" s="80"/>
      <c r="M140" s="81"/>
      <c r="N140" s="82"/>
    </row>
    <row r="141">
      <c r="A141" s="69"/>
      <c r="F141" s="87"/>
      <c r="G141" s="96"/>
      <c r="H141" s="89"/>
      <c r="I141" s="77"/>
      <c r="J141" s="78"/>
      <c r="K141" s="79"/>
      <c r="L141" s="80"/>
      <c r="M141" s="81"/>
      <c r="N141" s="82"/>
    </row>
    <row r="142">
      <c r="A142" s="69"/>
      <c r="F142" s="74"/>
      <c r="G142" s="94"/>
      <c r="H142" s="95"/>
      <c r="I142" s="77"/>
      <c r="J142" s="78"/>
      <c r="K142" s="79"/>
      <c r="L142" s="80"/>
      <c r="M142" s="81"/>
      <c r="N142" s="82"/>
    </row>
    <row r="143">
      <c r="A143" s="69"/>
      <c r="F143" s="87"/>
      <c r="G143" s="96"/>
      <c r="H143" s="89"/>
      <c r="I143" s="77"/>
      <c r="J143" s="78"/>
      <c r="K143" s="79"/>
      <c r="L143" s="80"/>
      <c r="M143" s="81"/>
      <c r="N143" s="82"/>
    </row>
    <row r="144">
      <c r="A144" s="69"/>
      <c r="F144" s="74"/>
      <c r="G144" s="116" t="s">
        <v>201</v>
      </c>
      <c r="H144" s="117">
        <f>SUBTOTAL(9, H128:H143)</f>
        <v>28372070</v>
      </c>
      <c r="I144" s="77"/>
      <c r="J144" s="78"/>
      <c r="K144" s="79"/>
      <c r="L144" s="80"/>
      <c r="M144" s="81"/>
      <c r="N144" s="82"/>
    </row>
    <row r="145">
      <c r="A145" s="118" t="s">
        <v>470</v>
      </c>
      <c r="B145" s="119" t="s">
        <v>162</v>
      </c>
      <c r="C145" s="120" t="s">
        <v>163</v>
      </c>
      <c r="D145" s="121" t="s">
        <v>8</v>
      </c>
      <c r="E145" s="121" t="s">
        <v>164</v>
      </c>
      <c r="F145" s="120" t="s">
        <v>165</v>
      </c>
      <c r="G145" s="120" t="s">
        <v>10</v>
      </c>
      <c r="H145" s="121" t="s">
        <v>164</v>
      </c>
      <c r="I145" s="122" t="s">
        <v>10</v>
      </c>
      <c r="J145" s="121" t="s">
        <v>164</v>
      </c>
      <c r="K145" s="120" t="s">
        <v>166</v>
      </c>
      <c r="L145" s="121" t="s">
        <v>164</v>
      </c>
      <c r="M145" s="81"/>
      <c r="N145" s="82"/>
    </row>
    <row r="146">
      <c r="A146" s="69" t="s">
        <v>1980</v>
      </c>
      <c r="B146" s="105">
        <v>3194.0</v>
      </c>
      <c r="C146" s="71" t="s">
        <v>163</v>
      </c>
      <c r="D146" s="72">
        <v>3570.0</v>
      </c>
      <c r="E146" s="73">
        <f t="shared" ref="E146:E151" si="19">IF(OR(B146="", D146=""), "⏳", B146*D146)</f>
        <v>11402580</v>
      </c>
      <c r="F146" s="74" t="s">
        <v>169</v>
      </c>
      <c r="G146" s="75" t="str">
        <f>FIXED('Copy of harian'!B152, 0, FALSE) &amp; " x Rp 120"</f>
        <v>17.062 x Rp 120</v>
      </c>
      <c r="H146" s="95">
        <f t="shared" ref="H146:H147" si="20">IF(OR(G146="", G146="---", NOT(ISNUMBER(SEARCH(" x ", G146)))), 0, VALUE(SUBSTITUTE(LEFT(G146, SEARCH(" x ", G146)-1), ".", "")) * VALUE(MID(G146, SEARCH(" x ", G146)+3, LEN(G146))))</f>
        <v>2047440</v>
      </c>
      <c r="I146" s="77" t="s">
        <v>172</v>
      </c>
      <c r="J146" s="78">
        <v>1.9E7</v>
      </c>
      <c r="K146" s="79" t="s">
        <v>370</v>
      </c>
      <c r="L146" s="80">
        <v>2000000.0</v>
      </c>
      <c r="M146" s="81"/>
      <c r="N146" s="82"/>
    </row>
    <row r="147">
      <c r="A147" s="69"/>
      <c r="B147" s="124">
        <v>4652.0</v>
      </c>
      <c r="C147" s="84" t="s">
        <v>163</v>
      </c>
      <c r="D147" s="85">
        <v>3570.0</v>
      </c>
      <c r="E147" s="86">
        <f t="shared" si="19"/>
        <v>16607640</v>
      </c>
      <c r="F147" s="87" t="s">
        <v>176</v>
      </c>
      <c r="G147" s="88" t="str">
        <f>FIXED('Copy of harian'!B152, 0, FALSE) &amp; " x Rp 170"</f>
        <v>17.062 x Rp 170</v>
      </c>
      <c r="H147" s="89">
        <f t="shared" si="20"/>
        <v>2900540</v>
      </c>
      <c r="I147" s="90" t="s">
        <v>179</v>
      </c>
      <c r="J147" s="91">
        <f>E152</f>
        <v>60911340</v>
      </c>
      <c r="K147" s="92"/>
      <c r="L147" s="93"/>
      <c r="M147" s="81"/>
      <c r="N147" s="82"/>
    </row>
    <row r="148">
      <c r="A148" s="69"/>
      <c r="B148" s="105">
        <v>4928.0</v>
      </c>
      <c r="C148" s="71" t="s">
        <v>163</v>
      </c>
      <c r="D148" s="72">
        <v>3570.0</v>
      </c>
      <c r="E148" s="73">
        <f t="shared" si="19"/>
        <v>17592960</v>
      </c>
      <c r="F148" s="74" t="s">
        <v>183</v>
      </c>
      <c r="G148" s="94"/>
      <c r="H148" s="95">
        <v>700000.0</v>
      </c>
      <c r="I148" s="77" t="s">
        <v>184</v>
      </c>
      <c r="J148" s="78">
        <f>IF(H162&gt;0, H162, "")</f>
        <v>43148980</v>
      </c>
      <c r="K148" s="79"/>
      <c r="L148" s="80"/>
      <c r="M148" s="81"/>
      <c r="N148" s="82"/>
    </row>
    <row r="149">
      <c r="A149" s="69"/>
      <c r="B149" s="124">
        <v>4288.0</v>
      </c>
      <c r="C149" s="84" t="s">
        <v>163</v>
      </c>
      <c r="D149" s="85">
        <v>3570.0</v>
      </c>
      <c r="E149" s="86">
        <f t="shared" si="19"/>
        <v>15308160</v>
      </c>
      <c r="F149" s="87" t="s">
        <v>188</v>
      </c>
      <c r="G149" s="96"/>
      <c r="H149" s="89">
        <v>200000.0</v>
      </c>
      <c r="I149" s="90" t="s">
        <v>166</v>
      </c>
      <c r="J149" s="91"/>
      <c r="K149" s="92"/>
      <c r="L149" s="93"/>
      <c r="M149" s="81"/>
      <c r="N149" s="82"/>
    </row>
    <row r="150">
      <c r="A150" s="69"/>
      <c r="B150" s="105"/>
      <c r="C150" s="71"/>
      <c r="D150" s="72"/>
      <c r="E150" s="73" t="str">
        <f t="shared" si="19"/>
        <v>⏳</v>
      </c>
      <c r="F150" s="97" t="s">
        <v>485</v>
      </c>
      <c r="G150" s="94" t="s">
        <v>486</v>
      </c>
      <c r="H150" s="95">
        <v>1.904E7</v>
      </c>
      <c r="I150" s="77" t="s">
        <v>195</v>
      </c>
      <c r="J150" s="78">
        <v>2000000.0</v>
      </c>
      <c r="K150" s="79"/>
      <c r="L150" s="80"/>
      <c r="M150" s="81"/>
      <c r="N150" s="82"/>
    </row>
    <row r="151">
      <c r="A151" s="69"/>
      <c r="B151" s="124"/>
      <c r="C151" s="84"/>
      <c r="D151" s="85"/>
      <c r="E151" s="86" t="str">
        <f t="shared" si="19"/>
        <v>⏳</v>
      </c>
      <c r="F151" s="87" t="s">
        <v>488</v>
      </c>
      <c r="G151" s="96"/>
      <c r="H151" s="89">
        <v>500000.0</v>
      </c>
      <c r="I151" s="90"/>
      <c r="J151" s="91"/>
      <c r="K151" s="79"/>
      <c r="L151" s="80"/>
      <c r="M151" s="81"/>
      <c r="N151" s="82"/>
    </row>
    <row r="152">
      <c r="A152" s="69"/>
      <c r="B152" s="99">
        <f>SUBTOTAL(9, B146:B151)</f>
        <v>17062</v>
      </c>
      <c r="C152" s="100"/>
      <c r="D152" s="101"/>
      <c r="E152" s="132">
        <f>SUBTOTAL(9, E146:E151)</f>
        <v>60911340</v>
      </c>
      <c r="F152" s="74" t="s">
        <v>490</v>
      </c>
      <c r="G152" s="94" t="s">
        <v>491</v>
      </c>
      <c r="H152" s="95">
        <v>1060000.0</v>
      </c>
      <c r="I152" s="103" t="s">
        <v>201</v>
      </c>
      <c r="J152" s="104">
        <f>IF(OR(B152=0, B152=""), 0, IFERROR(SUM(J146, J147, J150) - SUM(J148, J149) + J151, 0))</f>
        <v>38762360</v>
      </c>
      <c r="K152" s="79"/>
      <c r="L152" s="80"/>
      <c r="M152" s="81"/>
      <c r="N152" s="82"/>
    </row>
    <row r="153">
      <c r="A153" s="69"/>
      <c r="B153" s="105"/>
      <c r="F153" s="87" t="s">
        <v>493</v>
      </c>
      <c r="G153" s="96" t="s">
        <v>494</v>
      </c>
      <c r="H153" s="89">
        <v>6000000.0</v>
      </c>
      <c r="I153" s="106" t="s">
        <v>205</v>
      </c>
      <c r="J153" s="125">
        <v>2.4E7</v>
      </c>
      <c r="K153" s="79"/>
      <c r="L153" s="80"/>
      <c r="M153" s="81"/>
      <c r="N153" s="82"/>
    </row>
    <row r="154">
      <c r="A154" s="69"/>
      <c r="F154" s="74" t="s">
        <v>496</v>
      </c>
      <c r="G154" s="94"/>
      <c r="H154" s="95">
        <v>1900000.0</v>
      </c>
      <c r="I154" s="108" t="s">
        <v>208</v>
      </c>
      <c r="J154" s="109">
        <f>SUM(J152) - SUM(J153)</f>
        <v>14762360</v>
      </c>
      <c r="K154" s="79"/>
      <c r="L154" s="80"/>
      <c r="M154" s="81"/>
      <c r="N154" s="82"/>
    </row>
    <row r="155">
      <c r="A155" s="69"/>
      <c r="F155" s="87" t="s">
        <v>243</v>
      </c>
      <c r="G155" s="96" t="s">
        <v>499</v>
      </c>
      <c r="H155" s="89">
        <v>1750000.0</v>
      </c>
      <c r="I155" s="77"/>
      <c r="J155" s="78"/>
      <c r="K155" s="79"/>
      <c r="L155" s="80"/>
      <c r="M155" s="81"/>
      <c r="N155" s="82"/>
    </row>
    <row r="156">
      <c r="A156" s="69"/>
      <c r="F156" s="74" t="s">
        <v>501</v>
      </c>
      <c r="G156" s="94" t="s">
        <v>502</v>
      </c>
      <c r="H156" s="95">
        <v>400000.0</v>
      </c>
      <c r="I156" s="77"/>
      <c r="J156" s="78"/>
      <c r="K156" s="79"/>
      <c r="L156" s="80"/>
      <c r="M156" s="81"/>
      <c r="N156" s="82"/>
    </row>
    <row r="157">
      <c r="A157" s="69"/>
      <c r="F157" s="87" t="s">
        <v>503</v>
      </c>
      <c r="G157" s="96"/>
      <c r="H157" s="89">
        <v>4000000.0</v>
      </c>
      <c r="I157" s="126"/>
      <c r="J157" s="113"/>
      <c r="K157" s="79"/>
      <c r="L157" s="80"/>
      <c r="M157" s="81"/>
      <c r="N157" s="82"/>
    </row>
    <row r="158">
      <c r="A158" s="69"/>
      <c r="F158" s="74" t="s">
        <v>504</v>
      </c>
      <c r="G158" s="94" t="s">
        <v>277</v>
      </c>
      <c r="H158" s="95">
        <v>420000.0</v>
      </c>
      <c r="I158" s="129" t="s">
        <v>213</v>
      </c>
      <c r="J158" s="130">
        <f>IF(OR(B152=0, B152=""), 0, IFERROR(E152-H162, 0))</f>
        <v>17762360</v>
      </c>
      <c r="K158" s="79"/>
      <c r="L158" s="80"/>
      <c r="M158" s="81"/>
      <c r="N158" s="82"/>
    </row>
    <row r="159">
      <c r="A159" s="69"/>
      <c r="F159" s="87" t="s">
        <v>1981</v>
      </c>
      <c r="G159" s="96" t="s">
        <v>507</v>
      </c>
      <c r="H159" s="89">
        <v>376000.0</v>
      </c>
      <c r="I159" s="77"/>
      <c r="J159" s="78"/>
      <c r="K159" s="79"/>
      <c r="L159" s="80"/>
      <c r="M159" s="81"/>
      <c r="N159" s="82"/>
    </row>
    <row r="160">
      <c r="A160" s="69"/>
      <c r="F160" s="74" t="s">
        <v>508</v>
      </c>
      <c r="G160" s="94"/>
      <c r="H160" s="95">
        <v>1655000.0</v>
      </c>
      <c r="I160" s="77"/>
      <c r="J160" s="78"/>
      <c r="K160" s="79"/>
      <c r="L160" s="80"/>
      <c r="M160" s="81"/>
      <c r="N160" s="82"/>
    </row>
    <row r="161">
      <c r="A161" s="69"/>
      <c r="F161" s="87" t="s">
        <v>510</v>
      </c>
      <c r="G161" s="96"/>
      <c r="H161" s="89">
        <v>200000.0</v>
      </c>
      <c r="I161" s="77"/>
      <c r="J161" s="78"/>
      <c r="K161" s="79"/>
      <c r="L161" s="80"/>
      <c r="M161" s="81"/>
      <c r="N161" s="82"/>
    </row>
    <row r="162">
      <c r="A162" s="69"/>
      <c r="F162" s="74"/>
      <c r="G162" s="116" t="s">
        <v>201</v>
      </c>
      <c r="H162" s="117">
        <f>SUBTOTAL(9, H146:H161)</f>
        <v>43148980</v>
      </c>
      <c r="I162" s="77"/>
      <c r="J162" s="78"/>
      <c r="K162" s="79"/>
      <c r="L162" s="80"/>
      <c r="M162" s="81"/>
      <c r="N162" s="82"/>
    </row>
    <row r="163">
      <c r="A163" s="118" t="s">
        <v>470</v>
      </c>
      <c r="B163" s="119" t="s">
        <v>162</v>
      </c>
      <c r="C163" s="120" t="s">
        <v>163</v>
      </c>
      <c r="D163" s="121" t="s">
        <v>8</v>
      </c>
      <c r="E163" s="121" t="s">
        <v>164</v>
      </c>
      <c r="F163" s="120" t="s">
        <v>165</v>
      </c>
      <c r="G163" s="120" t="s">
        <v>10</v>
      </c>
      <c r="H163" s="121" t="s">
        <v>164</v>
      </c>
      <c r="I163" s="122" t="s">
        <v>10</v>
      </c>
      <c r="J163" s="121" t="s">
        <v>164</v>
      </c>
      <c r="K163" s="120" t="s">
        <v>166</v>
      </c>
      <c r="L163" s="121" t="s">
        <v>164</v>
      </c>
      <c r="M163" s="81"/>
      <c r="N163" s="82"/>
    </row>
    <row r="164">
      <c r="A164" s="69" t="s">
        <v>1982</v>
      </c>
      <c r="B164" s="105">
        <v>4705.0</v>
      </c>
      <c r="C164" s="71" t="s">
        <v>163</v>
      </c>
      <c r="D164" s="72">
        <v>3580.0</v>
      </c>
      <c r="E164" s="73">
        <f t="shared" ref="E164:E169" si="21">IF(OR(B164="", D164=""), "⏳", B164*D164)</f>
        <v>16843900</v>
      </c>
      <c r="F164" s="74" t="s">
        <v>169</v>
      </c>
      <c r="G164" s="75" t="str">
        <f>FIXED('Copy of harian'!B170, 0, FALSE) &amp; " x Rp 120"</f>
        <v>18.958 x Rp 120</v>
      </c>
      <c r="H164" s="95">
        <f t="shared" ref="H164:H165" si="22">IF(OR(G164="", G164="---", NOT(ISNUMBER(SEARCH(" x ", G164)))), 0, VALUE(SUBSTITUTE(LEFT(G164, SEARCH(" x ", G164)-1), ".", "")) * VALUE(MID(G164, SEARCH(" x ", G164)+3, LEN(G164))))</f>
        <v>2274960</v>
      </c>
      <c r="I164" s="77" t="s">
        <v>172</v>
      </c>
      <c r="J164" s="78">
        <v>1.4E7</v>
      </c>
      <c r="K164" s="79"/>
      <c r="L164" s="80"/>
      <c r="M164" s="81"/>
      <c r="N164" s="82"/>
    </row>
    <row r="165">
      <c r="A165" s="69"/>
      <c r="B165" s="124">
        <v>4681.0</v>
      </c>
      <c r="C165" s="84" t="s">
        <v>163</v>
      </c>
      <c r="D165" s="85">
        <v>3600.0</v>
      </c>
      <c r="E165" s="86">
        <f t="shared" si="21"/>
        <v>16851600</v>
      </c>
      <c r="F165" s="87" t="s">
        <v>176</v>
      </c>
      <c r="G165" s="88" t="str">
        <f>FIXED('Copy of harian'!B170, 0, FALSE) &amp; " x Rp 170"</f>
        <v>18.958 x Rp 170</v>
      </c>
      <c r="H165" s="89">
        <f t="shared" si="22"/>
        <v>3222860</v>
      </c>
      <c r="I165" s="90" t="s">
        <v>225</v>
      </c>
      <c r="J165" s="91">
        <f>E170</f>
        <v>67939850</v>
      </c>
      <c r="K165" s="92"/>
      <c r="L165" s="93"/>
      <c r="M165" s="81"/>
      <c r="N165" s="82"/>
    </row>
    <row r="166">
      <c r="A166" s="69"/>
      <c r="B166" s="105">
        <v>5275.0</v>
      </c>
      <c r="C166" s="71" t="s">
        <v>163</v>
      </c>
      <c r="D166" s="72">
        <v>3600.0</v>
      </c>
      <c r="E166" s="73">
        <f t="shared" si="21"/>
        <v>18990000</v>
      </c>
      <c r="F166" s="74" t="s">
        <v>183</v>
      </c>
      <c r="G166" s="94"/>
      <c r="H166" s="95">
        <v>700000.0</v>
      </c>
      <c r="I166" s="77" t="s">
        <v>229</v>
      </c>
      <c r="J166" s="78">
        <f>IF(H180&gt;0, H180, "")</f>
        <v>13550820</v>
      </c>
      <c r="K166" s="79"/>
      <c r="L166" s="80"/>
      <c r="M166" s="81"/>
      <c r="N166" s="82"/>
    </row>
    <row r="167">
      <c r="A167" s="69"/>
      <c r="B167" s="124">
        <v>4297.0</v>
      </c>
      <c r="C167" s="84" t="s">
        <v>163</v>
      </c>
      <c r="D167" s="85">
        <v>3550.0</v>
      </c>
      <c r="E167" s="86">
        <f t="shared" si="21"/>
        <v>15254350</v>
      </c>
      <c r="F167" s="87" t="s">
        <v>188</v>
      </c>
      <c r="G167" s="96"/>
      <c r="H167" s="89">
        <v>200000.0</v>
      </c>
      <c r="I167" s="90" t="s">
        <v>166</v>
      </c>
      <c r="J167" s="91">
        <v>4000000.0</v>
      </c>
      <c r="K167" s="92"/>
      <c r="L167" s="93"/>
      <c r="M167" s="81"/>
      <c r="N167" s="82"/>
    </row>
    <row r="168">
      <c r="A168" s="69"/>
      <c r="B168" s="105"/>
      <c r="C168" s="71"/>
      <c r="D168" s="72"/>
      <c r="E168" s="73" t="str">
        <f t="shared" si="21"/>
        <v>⏳</v>
      </c>
      <c r="F168" s="74" t="s">
        <v>525</v>
      </c>
      <c r="G168" s="94" t="s">
        <v>526</v>
      </c>
      <c r="H168" s="95">
        <v>400000.0</v>
      </c>
      <c r="I168" s="77" t="s">
        <v>195</v>
      </c>
      <c r="J168" s="78"/>
      <c r="K168" s="79"/>
      <c r="L168" s="80"/>
      <c r="M168" s="81"/>
      <c r="N168" s="82"/>
    </row>
    <row r="169">
      <c r="A169" s="69"/>
      <c r="B169" s="124"/>
      <c r="C169" s="84"/>
      <c r="D169" s="85"/>
      <c r="E169" s="86" t="str">
        <f t="shared" si="21"/>
        <v>⏳</v>
      </c>
      <c r="F169" s="87" t="s">
        <v>210</v>
      </c>
      <c r="G169" s="96"/>
      <c r="H169" s="89">
        <v>200000.0</v>
      </c>
      <c r="I169" s="90"/>
      <c r="J169" s="91"/>
      <c r="K169" s="79"/>
      <c r="L169" s="80"/>
      <c r="M169" s="81"/>
      <c r="N169" s="82"/>
    </row>
    <row r="170">
      <c r="A170" s="69"/>
      <c r="B170" s="99">
        <f>SUBTOTAL(9, B164:B169)</f>
        <v>18958</v>
      </c>
      <c r="C170" s="100"/>
      <c r="D170" s="101"/>
      <c r="E170" s="132">
        <f>SUBTOTAL(9, E164:E169)</f>
        <v>67939850</v>
      </c>
      <c r="F170" s="74" t="s">
        <v>243</v>
      </c>
      <c r="G170" s="94"/>
      <c r="H170" s="95">
        <v>750000.0</v>
      </c>
      <c r="I170" s="103" t="s">
        <v>201</v>
      </c>
      <c r="J170" s="104">
        <f>IF(OR(B170=0, B170=""), 0, IFERROR(SUM(J164, J165, J168) - SUM(J166, J167) + J169, 0))</f>
        <v>64389030</v>
      </c>
      <c r="K170" s="79"/>
      <c r="L170" s="80"/>
      <c r="M170" s="81"/>
      <c r="N170" s="82"/>
    </row>
    <row r="171">
      <c r="A171" s="69"/>
      <c r="B171" s="105"/>
      <c r="F171" s="87" t="s">
        <v>211</v>
      </c>
      <c r="G171" s="96"/>
      <c r="H171" s="89">
        <v>1223000.0</v>
      </c>
      <c r="I171" s="106" t="s">
        <v>205</v>
      </c>
      <c r="J171" s="125">
        <v>5.0E7</v>
      </c>
      <c r="K171" s="79"/>
      <c r="L171" s="80"/>
      <c r="M171" s="81"/>
      <c r="N171" s="82"/>
    </row>
    <row r="172">
      <c r="A172" s="69"/>
      <c r="F172" s="74" t="s">
        <v>413</v>
      </c>
      <c r="G172" s="94"/>
      <c r="H172" s="95">
        <v>220000.0</v>
      </c>
      <c r="I172" s="108" t="s">
        <v>208</v>
      </c>
      <c r="J172" s="109">
        <f>SUM(J170) - SUM(J171)</f>
        <v>14389030</v>
      </c>
      <c r="K172" s="79"/>
      <c r="L172" s="80"/>
      <c r="M172" s="81"/>
      <c r="N172" s="82"/>
    </row>
    <row r="173">
      <c r="A173" s="69"/>
      <c r="F173" s="87" t="s">
        <v>197</v>
      </c>
      <c r="G173" s="96"/>
      <c r="H173" s="89">
        <v>3360000.0</v>
      </c>
      <c r="I173" s="77"/>
      <c r="J173" s="78"/>
      <c r="K173" s="79"/>
      <c r="L173" s="80"/>
      <c r="M173" s="81"/>
      <c r="N173" s="82"/>
    </row>
    <row r="174">
      <c r="A174" s="69"/>
      <c r="F174" s="74" t="s">
        <v>210</v>
      </c>
      <c r="G174" s="94"/>
      <c r="H174" s="95">
        <v>1000000.0</v>
      </c>
      <c r="I174" s="77"/>
      <c r="J174" s="78"/>
      <c r="K174" s="79"/>
      <c r="L174" s="80"/>
      <c r="M174" s="81"/>
      <c r="N174" s="82"/>
    </row>
    <row r="175">
      <c r="A175" s="69"/>
      <c r="F175" s="87"/>
      <c r="G175" s="96"/>
      <c r="H175" s="89"/>
      <c r="I175" s="126"/>
      <c r="J175" s="113"/>
      <c r="K175" s="79"/>
      <c r="L175" s="80"/>
      <c r="M175" s="81"/>
      <c r="N175" s="82"/>
    </row>
    <row r="176">
      <c r="A176" s="69"/>
      <c r="F176" s="74"/>
      <c r="G176" s="94"/>
      <c r="H176" s="95"/>
      <c r="I176" s="129" t="s">
        <v>213</v>
      </c>
      <c r="J176" s="130">
        <f>IF(OR(B170=0, B170=""), 0, IFERROR(E170-H180, 0))</f>
        <v>54389030</v>
      </c>
      <c r="K176" s="79"/>
      <c r="L176" s="80"/>
      <c r="M176" s="81"/>
      <c r="N176" s="82"/>
    </row>
    <row r="177">
      <c r="A177" s="69"/>
      <c r="F177" s="87"/>
      <c r="G177" s="96"/>
      <c r="H177" s="89"/>
      <c r="I177" s="77"/>
      <c r="J177" s="78"/>
      <c r="K177" s="79"/>
      <c r="L177" s="80"/>
      <c r="M177" s="81"/>
      <c r="N177" s="82"/>
    </row>
    <row r="178">
      <c r="A178" s="69"/>
      <c r="F178" s="74"/>
      <c r="G178" s="94"/>
      <c r="H178" s="95"/>
      <c r="I178" s="77"/>
      <c r="J178" s="78"/>
      <c r="K178" s="79"/>
      <c r="L178" s="80"/>
      <c r="M178" s="81"/>
      <c r="N178" s="82"/>
    </row>
    <row r="179">
      <c r="A179" s="69"/>
      <c r="F179" s="87"/>
      <c r="G179" s="96"/>
      <c r="H179" s="89"/>
      <c r="I179" s="77"/>
      <c r="J179" s="78"/>
      <c r="K179" s="79"/>
      <c r="L179" s="80"/>
      <c r="M179" s="81"/>
      <c r="N179" s="82"/>
    </row>
    <row r="180">
      <c r="A180" s="69"/>
      <c r="F180" s="74"/>
      <c r="G180" s="116" t="s">
        <v>201</v>
      </c>
      <c r="H180" s="117">
        <f>SUBTOTAL(9, H164:H179)</f>
        <v>13550820</v>
      </c>
      <c r="I180" s="77"/>
      <c r="J180" s="78"/>
      <c r="K180" s="79"/>
      <c r="L180" s="80"/>
      <c r="M180" s="81"/>
      <c r="N180" s="82"/>
    </row>
    <row r="181">
      <c r="A181" s="118" t="s">
        <v>533</v>
      </c>
      <c r="B181" s="119" t="s">
        <v>215</v>
      </c>
      <c r="C181" s="120" t="s">
        <v>163</v>
      </c>
      <c r="D181" s="121" t="s">
        <v>8</v>
      </c>
      <c r="E181" s="121" t="s">
        <v>164</v>
      </c>
      <c r="F181" s="120" t="s">
        <v>216</v>
      </c>
      <c r="G181" s="120" t="s">
        <v>10</v>
      </c>
      <c r="H181" s="121" t="s">
        <v>164</v>
      </c>
      <c r="I181" s="122" t="s">
        <v>10</v>
      </c>
      <c r="J181" s="121" t="s">
        <v>164</v>
      </c>
      <c r="K181" s="120" t="s">
        <v>166</v>
      </c>
      <c r="L181" s="121" t="s">
        <v>164</v>
      </c>
      <c r="M181" s="81"/>
      <c r="N181" s="82"/>
    </row>
    <row r="182">
      <c r="A182" s="69" t="s">
        <v>1983</v>
      </c>
      <c r="B182" s="105">
        <v>5093.0</v>
      </c>
      <c r="C182" s="71" t="s">
        <v>163</v>
      </c>
      <c r="D182" s="72">
        <v>3470.0</v>
      </c>
      <c r="E182" s="73">
        <f t="shared" ref="E182:E187" si="23">IF(OR(B182="", D182=""), "⏳", B182*D182)</f>
        <v>17672710</v>
      </c>
      <c r="F182" s="74" t="s">
        <v>169</v>
      </c>
      <c r="G182" s="75" t="str">
        <f>FIXED('Copy of harian'!B188, 0, FALSE) &amp; " x Rp 120"</f>
        <v>20.392 x Rp 120</v>
      </c>
      <c r="H182" s="95">
        <f t="shared" ref="H182:H183" si="24">IF(OR(G182="", G182="---", NOT(ISNUMBER(SEARCH(" x ", G182)))), 0, VALUE(SUBSTITUTE(LEFT(G182, SEARCH(" x ", G182)-1), ".", "")) * VALUE(MID(G182, SEARCH(" x ", G182)+3, LEN(G182))))</f>
        <v>2447040</v>
      </c>
      <c r="I182" s="77" t="s">
        <v>172</v>
      </c>
      <c r="J182" s="78">
        <v>1.4749E7</v>
      </c>
      <c r="K182" s="79" t="s">
        <v>1984</v>
      </c>
      <c r="L182" s="80">
        <v>4000000.0</v>
      </c>
      <c r="M182" s="81"/>
      <c r="N182" s="82"/>
    </row>
    <row r="183">
      <c r="A183" s="69"/>
      <c r="B183" s="124">
        <v>3320.0</v>
      </c>
      <c r="C183" s="84" t="s">
        <v>163</v>
      </c>
      <c r="D183" s="85">
        <v>3270.0</v>
      </c>
      <c r="E183" s="86">
        <f t="shared" si="23"/>
        <v>10856400</v>
      </c>
      <c r="F183" s="87" t="s">
        <v>176</v>
      </c>
      <c r="G183" s="88" t="str">
        <f>FIXED('Copy of harian'!B188, 0, FALSE) &amp; " x Rp 170"</f>
        <v>20.392 x Rp 170</v>
      </c>
      <c r="H183" s="89">
        <f t="shared" si="24"/>
        <v>3466640</v>
      </c>
      <c r="I183" s="90" t="s">
        <v>179</v>
      </c>
      <c r="J183" s="91">
        <f>E188</f>
        <v>64504440</v>
      </c>
      <c r="K183" s="92"/>
      <c r="L183" s="93"/>
      <c r="M183" s="81"/>
      <c r="N183" s="82"/>
    </row>
    <row r="184">
      <c r="A184" s="69"/>
      <c r="B184" s="105">
        <v>5587.0</v>
      </c>
      <c r="C184" s="71" t="s">
        <v>163</v>
      </c>
      <c r="D184" s="72">
        <v>3270.0</v>
      </c>
      <c r="E184" s="73">
        <f t="shared" si="23"/>
        <v>18269490</v>
      </c>
      <c r="F184" s="74" t="s">
        <v>183</v>
      </c>
      <c r="G184" s="94"/>
      <c r="H184" s="95">
        <v>700000.0</v>
      </c>
      <c r="I184" s="77" t="s">
        <v>184</v>
      </c>
      <c r="J184" s="78">
        <f>IF(H198&gt;0, H198, "")</f>
        <v>29464180</v>
      </c>
      <c r="K184" s="79"/>
      <c r="L184" s="80"/>
      <c r="M184" s="81"/>
      <c r="N184" s="82"/>
    </row>
    <row r="185">
      <c r="A185" s="69"/>
      <c r="B185" s="124">
        <v>6392.0</v>
      </c>
      <c r="C185" s="84" t="s">
        <v>163</v>
      </c>
      <c r="D185" s="85">
        <v>2770.0</v>
      </c>
      <c r="E185" s="86">
        <f t="shared" si="23"/>
        <v>17705840</v>
      </c>
      <c r="F185" s="87" t="s">
        <v>188</v>
      </c>
      <c r="G185" s="96"/>
      <c r="H185" s="89">
        <v>200000.0</v>
      </c>
      <c r="I185" s="90" t="s">
        <v>166</v>
      </c>
      <c r="J185" s="91"/>
      <c r="K185" s="92"/>
      <c r="L185" s="93"/>
      <c r="M185" s="81"/>
      <c r="N185" s="82"/>
    </row>
    <row r="186">
      <c r="A186" s="69"/>
      <c r="B186" s="105"/>
      <c r="C186" s="71"/>
      <c r="D186" s="72"/>
      <c r="E186" s="73" t="str">
        <f t="shared" si="23"/>
        <v>⏳</v>
      </c>
      <c r="F186" s="74" t="s">
        <v>549</v>
      </c>
      <c r="G186" s="94"/>
      <c r="H186" s="95">
        <v>5500000.0</v>
      </c>
      <c r="I186" s="77" t="s">
        <v>195</v>
      </c>
      <c r="J186" s="78">
        <v>4000000.0</v>
      </c>
      <c r="K186" s="79"/>
      <c r="L186" s="80"/>
      <c r="M186" s="81"/>
      <c r="N186" s="82"/>
    </row>
    <row r="187">
      <c r="A187" s="69"/>
      <c r="B187" s="124"/>
      <c r="C187" s="84"/>
      <c r="D187" s="85"/>
      <c r="E187" s="86" t="str">
        <f t="shared" si="23"/>
        <v>⏳</v>
      </c>
      <c r="F187" s="87" t="s">
        <v>551</v>
      </c>
      <c r="G187" s="96"/>
      <c r="H187" s="89">
        <v>8930500.0</v>
      </c>
      <c r="I187" s="90"/>
      <c r="J187" s="91"/>
      <c r="K187" s="79"/>
      <c r="L187" s="80"/>
      <c r="M187" s="81"/>
      <c r="N187" s="82"/>
    </row>
    <row r="188">
      <c r="A188" s="69"/>
      <c r="B188" s="99">
        <f>SUBTOTAL(9, B182:B187)</f>
        <v>20392</v>
      </c>
      <c r="C188" s="100"/>
      <c r="D188" s="101"/>
      <c r="E188" s="132">
        <f>SUBTOTAL(9, E182:E187)</f>
        <v>64504440</v>
      </c>
      <c r="F188" s="74" t="s">
        <v>237</v>
      </c>
      <c r="G188" s="94" t="s">
        <v>554</v>
      </c>
      <c r="H188" s="95">
        <v>3500000.0</v>
      </c>
      <c r="I188" s="103" t="s">
        <v>201</v>
      </c>
      <c r="J188" s="104">
        <f>IF(OR(B188=0, B188=""), 0, IFERROR(SUM(J182, J183, J186) - SUM(J184, J185) + J187, 0))</f>
        <v>53789260</v>
      </c>
      <c r="K188" s="79"/>
      <c r="L188" s="80"/>
      <c r="M188" s="81"/>
      <c r="N188" s="82"/>
    </row>
    <row r="189">
      <c r="A189" s="69"/>
      <c r="B189" s="105"/>
      <c r="F189" s="87" t="s">
        <v>503</v>
      </c>
      <c r="G189" s="96"/>
      <c r="H189" s="89">
        <v>4000000.0</v>
      </c>
      <c r="I189" s="106" t="s">
        <v>205</v>
      </c>
      <c r="J189" s="125">
        <v>2.5E7</v>
      </c>
      <c r="K189" s="79"/>
      <c r="L189" s="80"/>
      <c r="M189" s="81"/>
      <c r="N189" s="82"/>
    </row>
    <row r="190">
      <c r="A190" s="69"/>
      <c r="F190" s="74" t="s">
        <v>413</v>
      </c>
      <c r="G190" s="94"/>
      <c r="H190" s="95">
        <v>220000.0</v>
      </c>
      <c r="I190" s="108" t="s">
        <v>208</v>
      </c>
      <c r="J190" s="109">
        <f>SUM(J188) - SUM(J189)</f>
        <v>28789260</v>
      </c>
      <c r="K190" s="79"/>
      <c r="L190" s="80"/>
      <c r="M190" s="81"/>
      <c r="N190" s="82"/>
    </row>
    <row r="191">
      <c r="A191" s="69"/>
      <c r="F191" s="87" t="s">
        <v>559</v>
      </c>
      <c r="G191" s="96" t="s">
        <v>560</v>
      </c>
      <c r="H191" s="89">
        <v>500000.0</v>
      </c>
      <c r="I191" s="77"/>
      <c r="J191" s="78"/>
      <c r="K191" s="79"/>
      <c r="L191" s="80"/>
      <c r="M191" s="81"/>
      <c r="N191" s="82"/>
    </row>
    <row r="192">
      <c r="A192" s="69"/>
      <c r="F192" s="74"/>
      <c r="G192" s="94"/>
      <c r="H192" s="95"/>
      <c r="I192" s="77"/>
      <c r="J192" s="78"/>
      <c r="K192" s="79"/>
      <c r="L192" s="80"/>
      <c r="M192" s="81"/>
      <c r="N192" s="82"/>
    </row>
    <row r="193">
      <c r="A193" s="69"/>
      <c r="F193" s="87"/>
      <c r="G193" s="96"/>
      <c r="H193" s="89"/>
      <c r="I193" s="126"/>
      <c r="J193" s="113"/>
      <c r="K193" s="79"/>
      <c r="L193" s="80"/>
      <c r="M193" s="81"/>
      <c r="N193" s="82"/>
    </row>
    <row r="194">
      <c r="A194" s="69"/>
      <c r="F194" s="74"/>
      <c r="G194" s="94"/>
      <c r="H194" s="95"/>
      <c r="I194" s="129" t="s">
        <v>213</v>
      </c>
      <c r="J194" s="130">
        <f>IF(OR(B188=0, B188=""), 0, IFERROR(E188-H198, 0))</f>
        <v>35040260</v>
      </c>
      <c r="K194" s="79"/>
      <c r="L194" s="80"/>
      <c r="M194" s="81"/>
      <c r="N194" s="82"/>
    </row>
    <row r="195">
      <c r="A195" s="69"/>
      <c r="F195" s="87"/>
      <c r="G195" s="96"/>
      <c r="H195" s="89"/>
      <c r="I195" s="77"/>
      <c r="J195" s="78"/>
      <c r="K195" s="79"/>
      <c r="L195" s="80"/>
      <c r="M195" s="81"/>
      <c r="N195" s="82"/>
    </row>
    <row r="196">
      <c r="A196" s="69"/>
      <c r="F196" s="74"/>
      <c r="G196" s="94"/>
      <c r="H196" s="95"/>
      <c r="I196" s="77"/>
      <c r="J196" s="78"/>
      <c r="K196" s="79"/>
      <c r="L196" s="80"/>
      <c r="M196" s="81"/>
      <c r="N196" s="82"/>
    </row>
    <row r="197">
      <c r="A197" s="69"/>
      <c r="F197" s="87"/>
      <c r="G197" s="96"/>
      <c r="H197" s="89"/>
      <c r="I197" s="77"/>
      <c r="J197" s="78"/>
      <c r="K197" s="79"/>
      <c r="L197" s="80"/>
      <c r="M197" s="81"/>
      <c r="N197" s="82"/>
    </row>
    <row r="198">
      <c r="A198" s="69"/>
      <c r="F198" s="74"/>
      <c r="G198" s="116" t="s">
        <v>201</v>
      </c>
      <c r="H198" s="117">
        <f>SUBTOTAL(9, H182:H197)</f>
        <v>29464180</v>
      </c>
      <c r="I198" s="77"/>
      <c r="J198" s="78"/>
      <c r="K198" s="79"/>
      <c r="L198" s="80"/>
      <c r="M198" s="81"/>
      <c r="N198" s="82"/>
    </row>
    <row r="199">
      <c r="A199" s="118" t="s">
        <v>533</v>
      </c>
      <c r="B199" s="119" t="s">
        <v>215</v>
      </c>
      <c r="C199" s="120" t="s">
        <v>163</v>
      </c>
      <c r="D199" s="121" t="s">
        <v>8</v>
      </c>
      <c r="E199" s="121" t="s">
        <v>164</v>
      </c>
      <c r="F199" s="120" t="s">
        <v>216</v>
      </c>
      <c r="G199" s="120" t="s">
        <v>10</v>
      </c>
      <c r="H199" s="121" t="s">
        <v>164</v>
      </c>
      <c r="I199" s="122" t="s">
        <v>10</v>
      </c>
      <c r="J199" s="121" t="s">
        <v>164</v>
      </c>
      <c r="K199" s="120" t="s">
        <v>166</v>
      </c>
      <c r="L199" s="121" t="s">
        <v>164</v>
      </c>
      <c r="M199" s="81"/>
      <c r="N199" s="82"/>
    </row>
    <row r="200">
      <c r="A200" s="69" t="s">
        <v>1985</v>
      </c>
      <c r="B200" s="105">
        <v>3880.0</v>
      </c>
      <c r="C200" s="71" t="s">
        <v>163</v>
      </c>
      <c r="D200" s="72">
        <v>3070.0</v>
      </c>
      <c r="E200" s="73">
        <f t="shared" ref="E200:E205" si="25">IF(OR(B200="", D200=""), "⏳", B200*D200)</f>
        <v>11911600</v>
      </c>
      <c r="F200" s="74" t="s">
        <v>169</v>
      </c>
      <c r="G200" s="75" t="str">
        <f>FIXED('Copy of harian'!B206, 0, FALSE) &amp; " x Rp 120"</f>
        <v>22.834 x Rp 120</v>
      </c>
      <c r="H200" s="95">
        <f t="shared" ref="H200:H201" si="26">IF(OR(G200="", G200="---", NOT(ISNUMBER(SEARCH(" x ", G200)))), 0, VALUE(SUBSTITUTE(LEFT(G200, SEARCH(" x ", G200)-1), ".", "")) * VALUE(MID(G200, SEARCH(" x ", G200)+3, LEN(G200))))</f>
        <v>2740080</v>
      </c>
      <c r="I200" s="77" t="s">
        <v>172</v>
      </c>
      <c r="J200" s="78">
        <v>2.8E7</v>
      </c>
      <c r="K200" s="79"/>
      <c r="L200" s="80"/>
      <c r="M200" s="81"/>
      <c r="N200" s="82"/>
    </row>
    <row r="201">
      <c r="A201" s="69"/>
      <c r="B201" s="124">
        <v>6694.0</v>
      </c>
      <c r="C201" s="84" t="s">
        <v>163</v>
      </c>
      <c r="D201" s="85">
        <v>3400.0</v>
      </c>
      <c r="E201" s="86">
        <f t="shared" si="25"/>
        <v>22759600</v>
      </c>
      <c r="F201" s="87" t="s">
        <v>176</v>
      </c>
      <c r="G201" s="88" t="str">
        <f>FIXED('Copy of harian'!B206, 0, FALSE) &amp; " x Rp 170"</f>
        <v>22.834 x Rp 170</v>
      </c>
      <c r="H201" s="89">
        <f t="shared" si="26"/>
        <v>3881780</v>
      </c>
      <c r="I201" s="90" t="s">
        <v>225</v>
      </c>
      <c r="J201" s="91">
        <f>E206</f>
        <v>76355200</v>
      </c>
      <c r="K201" s="92"/>
      <c r="L201" s="93"/>
      <c r="M201" s="81"/>
      <c r="N201" s="82"/>
    </row>
    <row r="202">
      <c r="A202" s="69"/>
      <c r="B202" s="105">
        <v>5411.0</v>
      </c>
      <c r="C202" s="71" t="s">
        <v>163</v>
      </c>
      <c r="D202" s="72">
        <v>3400.0</v>
      </c>
      <c r="E202" s="73">
        <f t="shared" si="25"/>
        <v>18397400</v>
      </c>
      <c r="F202" s="74" t="s">
        <v>183</v>
      </c>
      <c r="G202" s="94"/>
      <c r="H202" s="95">
        <v>700000.0</v>
      </c>
      <c r="I202" s="77" t="s">
        <v>229</v>
      </c>
      <c r="J202" s="78">
        <f>IF(H216&gt;0, H216, "")</f>
        <v>27543860</v>
      </c>
      <c r="K202" s="79"/>
      <c r="L202" s="80"/>
      <c r="M202" s="81"/>
      <c r="N202" s="82"/>
    </row>
    <row r="203">
      <c r="A203" s="69"/>
      <c r="B203" s="124">
        <v>6849.0</v>
      </c>
      <c r="C203" s="84" t="s">
        <v>163</v>
      </c>
      <c r="D203" s="85">
        <v>3400.0</v>
      </c>
      <c r="E203" s="86">
        <f t="shared" si="25"/>
        <v>23286600</v>
      </c>
      <c r="F203" s="87" t="s">
        <v>188</v>
      </c>
      <c r="G203" s="96"/>
      <c r="H203" s="89">
        <v>200000.0</v>
      </c>
      <c r="I203" s="90" t="s">
        <v>166</v>
      </c>
      <c r="J203" s="91">
        <v>5000000.0</v>
      </c>
      <c r="K203" s="92"/>
      <c r="L203" s="93"/>
      <c r="M203" s="81"/>
      <c r="N203" s="82"/>
    </row>
    <row r="204">
      <c r="A204" s="69"/>
      <c r="B204" s="105"/>
      <c r="C204" s="71"/>
      <c r="D204" s="72"/>
      <c r="E204" s="73" t="str">
        <f t="shared" si="25"/>
        <v>⏳</v>
      </c>
      <c r="F204" s="74" t="s">
        <v>237</v>
      </c>
      <c r="G204" s="94" t="s">
        <v>578</v>
      </c>
      <c r="H204" s="95">
        <v>3500000.0</v>
      </c>
      <c r="I204" s="77" t="s">
        <v>195</v>
      </c>
      <c r="J204" s="78"/>
      <c r="K204" s="79"/>
      <c r="L204" s="80"/>
      <c r="M204" s="81"/>
      <c r="N204" s="82"/>
    </row>
    <row r="205">
      <c r="A205" s="69"/>
      <c r="B205" s="124"/>
      <c r="C205" s="84"/>
      <c r="D205" s="85"/>
      <c r="E205" s="86" t="str">
        <f t="shared" si="25"/>
        <v>⏳</v>
      </c>
      <c r="F205" s="87" t="s">
        <v>200</v>
      </c>
      <c r="G205" s="96"/>
      <c r="H205" s="89">
        <v>220000.0</v>
      </c>
      <c r="I205" s="90"/>
      <c r="J205" s="91"/>
      <c r="K205" s="79"/>
      <c r="L205" s="80"/>
      <c r="M205" s="81"/>
      <c r="N205" s="82"/>
    </row>
    <row r="206">
      <c r="A206" s="69"/>
      <c r="B206" s="99">
        <f>SUBTOTAL(9, B200:B205)</f>
        <v>22834</v>
      </c>
      <c r="C206" s="100"/>
      <c r="D206" s="101"/>
      <c r="E206" s="132">
        <f>SUBTOTAL(9, E200:E205)</f>
        <v>76355200</v>
      </c>
      <c r="F206" s="74" t="s">
        <v>580</v>
      </c>
      <c r="G206" s="94"/>
      <c r="H206" s="95">
        <v>400000.0</v>
      </c>
      <c r="I206" s="103" t="s">
        <v>201</v>
      </c>
      <c r="J206" s="104">
        <f>IF(OR(B206=0, B206=""), 0, IFERROR(SUM(J200, J201, J204) - SUM(J202, J203) + J205, 0))</f>
        <v>71811340</v>
      </c>
      <c r="K206" s="79"/>
      <c r="L206" s="80"/>
      <c r="M206" s="81"/>
      <c r="N206" s="82"/>
    </row>
    <row r="207">
      <c r="A207" s="69"/>
      <c r="B207" s="105"/>
      <c r="F207" s="87" t="s">
        <v>582</v>
      </c>
      <c r="G207" s="96" t="s">
        <v>583</v>
      </c>
      <c r="H207" s="89">
        <v>1.4467E7</v>
      </c>
      <c r="I207" s="106" t="s">
        <v>205</v>
      </c>
      <c r="J207" s="125">
        <v>5.7E7</v>
      </c>
      <c r="K207" s="79"/>
      <c r="L207" s="80"/>
      <c r="M207" s="81"/>
      <c r="N207" s="82"/>
    </row>
    <row r="208">
      <c r="A208" s="69"/>
      <c r="F208" s="74" t="s">
        <v>211</v>
      </c>
      <c r="G208" s="94"/>
      <c r="H208" s="95">
        <v>1235000.0</v>
      </c>
      <c r="I208" s="108" t="s">
        <v>208</v>
      </c>
      <c r="J208" s="109">
        <f>SUM(J206) - SUM(J207)</f>
        <v>14811340</v>
      </c>
      <c r="K208" s="79"/>
      <c r="L208" s="80"/>
      <c r="M208" s="81"/>
      <c r="N208" s="82"/>
    </row>
    <row r="209">
      <c r="A209" s="69"/>
      <c r="F209" s="87" t="s">
        <v>588</v>
      </c>
      <c r="G209" s="96"/>
      <c r="H209" s="89">
        <v>200000.0</v>
      </c>
      <c r="I209" s="77"/>
      <c r="J209" s="78"/>
      <c r="K209" s="79"/>
      <c r="L209" s="80"/>
      <c r="M209" s="81"/>
      <c r="N209" s="82"/>
    </row>
    <row r="210">
      <c r="A210" s="69"/>
      <c r="F210" s="74"/>
      <c r="G210" s="94"/>
      <c r="H210" s="95"/>
      <c r="I210" s="77"/>
      <c r="J210" s="78"/>
      <c r="K210" s="79"/>
      <c r="L210" s="80"/>
      <c r="M210" s="81"/>
      <c r="N210" s="82"/>
    </row>
    <row r="211">
      <c r="A211" s="69"/>
      <c r="F211" s="87"/>
      <c r="G211" s="96"/>
      <c r="H211" s="89"/>
      <c r="I211" s="126"/>
      <c r="J211" s="113"/>
      <c r="K211" s="79"/>
      <c r="L211" s="80"/>
      <c r="M211" s="81"/>
      <c r="N211" s="82"/>
    </row>
    <row r="212">
      <c r="A212" s="69"/>
      <c r="F212" s="74"/>
      <c r="G212" s="94"/>
      <c r="H212" s="95"/>
      <c r="I212" s="129" t="s">
        <v>213</v>
      </c>
      <c r="J212" s="130">
        <f>IF(OR(B206=0, B206=""), 0, IFERROR(E206-H216, 0))</f>
        <v>48811340</v>
      </c>
      <c r="K212" s="79"/>
      <c r="L212" s="80"/>
      <c r="M212" s="81"/>
      <c r="N212" s="82"/>
    </row>
    <row r="213">
      <c r="A213" s="69"/>
      <c r="F213" s="87"/>
      <c r="G213" s="96"/>
      <c r="H213" s="89"/>
      <c r="I213" s="77"/>
      <c r="J213" s="78"/>
      <c r="K213" s="79"/>
      <c r="L213" s="80"/>
      <c r="M213" s="81"/>
      <c r="N213" s="82"/>
    </row>
    <row r="214">
      <c r="A214" s="69"/>
      <c r="F214" s="74"/>
      <c r="G214" s="94"/>
      <c r="H214" s="95"/>
      <c r="I214" s="77"/>
      <c r="J214" s="78"/>
      <c r="K214" s="79"/>
      <c r="L214" s="80"/>
      <c r="M214" s="81"/>
      <c r="N214" s="82"/>
    </row>
    <row r="215">
      <c r="A215" s="69"/>
      <c r="F215" s="87"/>
      <c r="G215" s="96"/>
      <c r="H215" s="89"/>
      <c r="I215" s="77"/>
      <c r="J215" s="78"/>
      <c r="K215" s="79"/>
      <c r="L215" s="80"/>
      <c r="M215" s="81"/>
      <c r="N215" s="82"/>
    </row>
    <row r="216">
      <c r="A216" s="69"/>
      <c r="F216" s="74"/>
      <c r="G216" s="116" t="s">
        <v>201</v>
      </c>
      <c r="H216" s="117">
        <f>SUBTOTAL(9, H200:H215)</f>
        <v>27543860</v>
      </c>
      <c r="I216" s="77"/>
      <c r="J216" s="78"/>
      <c r="K216" s="79"/>
      <c r="L216" s="80"/>
      <c r="M216" s="81"/>
      <c r="N216" s="82"/>
    </row>
    <row r="217">
      <c r="A217" s="118" t="s">
        <v>590</v>
      </c>
      <c r="B217" s="119" t="s">
        <v>162</v>
      </c>
      <c r="C217" s="120" t="s">
        <v>163</v>
      </c>
      <c r="D217" s="121" t="s">
        <v>8</v>
      </c>
      <c r="E217" s="121" t="s">
        <v>164</v>
      </c>
      <c r="F217" s="120" t="s">
        <v>165</v>
      </c>
      <c r="G217" s="120" t="s">
        <v>10</v>
      </c>
      <c r="H217" s="121" t="s">
        <v>164</v>
      </c>
      <c r="I217" s="122" t="s">
        <v>10</v>
      </c>
      <c r="J217" s="121" t="s">
        <v>164</v>
      </c>
      <c r="K217" s="120" t="s">
        <v>166</v>
      </c>
      <c r="L217" s="121" t="s">
        <v>164</v>
      </c>
      <c r="M217" s="81"/>
      <c r="N217" s="82"/>
    </row>
    <row r="218">
      <c r="A218" s="69"/>
      <c r="B218" s="105"/>
      <c r="C218" s="71" t="s">
        <v>163</v>
      </c>
      <c r="D218" s="72"/>
      <c r="E218" s="73" t="str">
        <f t="shared" ref="E218:E223" si="27">IF(OR(B218="", D218=""), "⏳", B218*D218)</f>
        <v>⏳</v>
      </c>
      <c r="F218" s="74" t="s">
        <v>169</v>
      </c>
      <c r="G218" s="75" t="str">
        <f>FIXED('Copy of harian'!B224, 0, FALSE) &amp; " x Rp 120"</f>
        <v>0 x Rp 120</v>
      </c>
      <c r="H218" s="95">
        <f t="shared" ref="H218:H219" si="28">IF(OR(G218="", G218="---", NOT(ISNUMBER(SEARCH(" x ", G218)))), 0, VALUE(SUBSTITUTE(LEFT(G218, SEARCH(" x ", G218)-1), ".", "")) * VALUE(MID(G218, SEARCH(" x ", G218)+3, LEN(G218))))</f>
        <v>0</v>
      </c>
      <c r="I218" s="77" t="s">
        <v>172</v>
      </c>
      <c r="J218" s="78"/>
      <c r="K218" s="79"/>
      <c r="L218" s="80"/>
      <c r="M218" s="81"/>
      <c r="N218" s="82"/>
    </row>
    <row r="219">
      <c r="A219" s="69"/>
      <c r="B219" s="124"/>
      <c r="C219" s="84" t="s">
        <v>163</v>
      </c>
      <c r="D219" s="85"/>
      <c r="E219" s="86" t="str">
        <f t="shared" si="27"/>
        <v>⏳</v>
      </c>
      <c r="F219" s="87" t="s">
        <v>176</v>
      </c>
      <c r="G219" s="88" t="str">
        <f>FIXED('Copy of harian'!B224, 0, FALSE) &amp; " x Rp 170"</f>
        <v>0 x Rp 170</v>
      </c>
      <c r="H219" s="89">
        <f t="shared" si="28"/>
        <v>0</v>
      </c>
      <c r="I219" s="90" t="s">
        <v>179</v>
      </c>
      <c r="J219" s="91">
        <f>E224</f>
        <v>0</v>
      </c>
      <c r="K219" s="92"/>
      <c r="L219" s="93"/>
      <c r="M219" s="81"/>
      <c r="N219" s="82"/>
    </row>
    <row r="220">
      <c r="A220" s="69"/>
      <c r="B220" s="105"/>
      <c r="C220" s="71" t="s">
        <v>163</v>
      </c>
      <c r="D220" s="72"/>
      <c r="E220" s="73" t="str">
        <f t="shared" si="27"/>
        <v>⏳</v>
      </c>
      <c r="F220" s="74" t="s">
        <v>183</v>
      </c>
      <c r="G220" s="94"/>
      <c r="H220" s="95"/>
      <c r="I220" s="77" t="s">
        <v>184</v>
      </c>
      <c r="J220" s="78" t="str">
        <f>IF(H234&gt;0, H234, "")</f>
        <v/>
      </c>
      <c r="K220" s="79"/>
      <c r="L220" s="80"/>
      <c r="M220" s="81"/>
      <c r="N220" s="82"/>
    </row>
    <row r="221">
      <c r="A221" s="69"/>
      <c r="B221" s="124"/>
      <c r="C221" s="84" t="s">
        <v>163</v>
      </c>
      <c r="D221" s="85"/>
      <c r="E221" s="86" t="str">
        <f t="shared" si="27"/>
        <v>⏳</v>
      </c>
      <c r="F221" s="87" t="s">
        <v>188</v>
      </c>
      <c r="G221" s="96"/>
      <c r="H221" s="89"/>
      <c r="I221" s="90" t="s">
        <v>166</v>
      </c>
      <c r="J221" s="91"/>
      <c r="K221" s="92"/>
      <c r="L221" s="93"/>
      <c r="M221" s="81"/>
      <c r="N221" s="82"/>
    </row>
    <row r="222">
      <c r="A222" s="69"/>
      <c r="B222" s="105"/>
      <c r="C222" s="71" t="s">
        <v>163</v>
      </c>
      <c r="D222" s="72"/>
      <c r="E222" s="73" t="str">
        <f t="shared" si="27"/>
        <v>⏳</v>
      </c>
      <c r="F222" s="74"/>
      <c r="G222" s="94"/>
      <c r="H222" s="95"/>
      <c r="I222" s="77" t="s">
        <v>195</v>
      </c>
      <c r="J222" s="78"/>
      <c r="K222" s="79"/>
      <c r="L222" s="80"/>
      <c r="M222" s="81"/>
      <c r="N222" s="82"/>
    </row>
    <row r="223">
      <c r="A223" s="69"/>
      <c r="B223" s="124"/>
      <c r="C223" s="84"/>
      <c r="D223" s="85"/>
      <c r="E223" s="86" t="str">
        <f t="shared" si="27"/>
        <v>⏳</v>
      </c>
      <c r="F223" s="87"/>
      <c r="G223" s="96"/>
      <c r="H223" s="89"/>
      <c r="I223" s="90"/>
      <c r="J223" s="91"/>
      <c r="K223" s="79"/>
      <c r="L223" s="80"/>
      <c r="M223" s="81"/>
      <c r="N223" s="82"/>
    </row>
    <row r="224">
      <c r="A224" s="69"/>
      <c r="B224" s="99">
        <f>SUBTOTAL(9, B218:B223)</f>
        <v>0</v>
      </c>
      <c r="C224" s="100"/>
      <c r="D224" s="101"/>
      <c r="E224" s="132">
        <f>SUBTOTAL(9, E218:E223)</f>
        <v>0</v>
      </c>
      <c r="F224" s="74"/>
      <c r="G224" s="94"/>
      <c r="H224" s="95"/>
      <c r="I224" s="103" t="s">
        <v>201</v>
      </c>
      <c r="J224" s="104">
        <f>IF(OR(B224=0, B224=""), 0, IFERROR(SUM(J218, J219, J222) - SUM(J220, J221) + J223, 0))</f>
        <v>0</v>
      </c>
      <c r="K224" s="79"/>
      <c r="L224" s="80"/>
      <c r="M224" s="81"/>
      <c r="N224" s="82"/>
    </row>
    <row r="225">
      <c r="A225" s="69"/>
      <c r="B225" s="105"/>
      <c r="F225" s="87"/>
      <c r="G225" s="96"/>
      <c r="H225" s="89"/>
      <c r="I225" s="106" t="s">
        <v>205</v>
      </c>
      <c r="J225" s="125"/>
      <c r="K225" s="79"/>
      <c r="L225" s="80"/>
      <c r="M225" s="81"/>
      <c r="N225" s="82"/>
    </row>
    <row r="226">
      <c r="A226" s="69"/>
      <c r="F226" s="74"/>
      <c r="G226" s="94"/>
      <c r="H226" s="95"/>
      <c r="I226" s="108" t="s">
        <v>208</v>
      </c>
      <c r="J226" s="109">
        <f>SUM(J224) - SUM(J225)</f>
        <v>0</v>
      </c>
      <c r="K226" s="79"/>
      <c r="L226" s="80"/>
      <c r="M226" s="81"/>
      <c r="N226" s="82"/>
    </row>
    <row r="227">
      <c r="A227" s="69"/>
      <c r="F227" s="87"/>
      <c r="G227" s="96"/>
      <c r="H227" s="89"/>
      <c r="I227" s="77"/>
      <c r="J227" s="78"/>
      <c r="K227" s="79"/>
      <c r="L227" s="80"/>
      <c r="M227" s="81"/>
      <c r="N227" s="82"/>
    </row>
    <row r="228">
      <c r="A228" s="69"/>
      <c r="F228" s="74"/>
      <c r="G228" s="94"/>
      <c r="H228" s="95"/>
      <c r="I228" s="77"/>
      <c r="J228" s="78"/>
      <c r="K228" s="79"/>
      <c r="L228" s="80"/>
      <c r="M228" s="81"/>
      <c r="N228" s="82"/>
    </row>
    <row r="229">
      <c r="A229" s="69"/>
      <c r="F229" s="87"/>
      <c r="G229" s="96"/>
      <c r="H229" s="89"/>
      <c r="I229" s="126"/>
      <c r="J229" s="113"/>
      <c r="K229" s="79"/>
      <c r="L229" s="80"/>
      <c r="M229" s="81"/>
      <c r="N229" s="82"/>
    </row>
    <row r="230">
      <c r="A230" s="69"/>
      <c r="F230" s="74"/>
      <c r="G230" s="94"/>
      <c r="H230" s="95"/>
      <c r="I230" s="129" t="s">
        <v>213</v>
      </c>
      <c r="J230" s="130">
        <f>IF(OR(B224=0, B224=""), 0, IFERROR(E224-H234, 0))</f>
        <v>0</v>
      </c>
      <c r="K230" s="79"/>
      <c r="L230" s="80"/>
      <c r="M230" s="81"/>
      <c r="N230" s="82"/>
    </row>
    <row r="231">
      <c r="A231" s="69"/>
      <c r="F231" s="87"/>
      <c r="G231" s="96"/>
      <c r="H231" s="89"/>
      <c r="I231" s="77"/>
      <c r="J231" s="78"/>
      <c r="K231" s="79"/>
      <c r="L231" s="80"/>
      <c r="M231" s="81"/>
      <c r="N231" s="82"/>
    </row>
    <row r="232">
      <c r="A232" s="69"/>
      <c r="F232" s="74"/>
      <c r="G232" s="94"/>
      <c r="H232" s="95"/>
      <c r="I232" s="77"/>
      <c r="J232" s="78"/>
      <c r="K232" s="79"/>
      <c r="L232" s="80"/>
      <c r="M232" s="81"/>
      <c r="N232" s="82"/>
    </row>
    <row r="233">
      <c r="A233" s="69"/>
      <c r="F233" s="87"/>
      <c r="G233" s="96"/>
      <c r="H233" s="89"/>
      <c r="I233" s="77"/>
      <c r="J233" s="78"/>
      <c r="K233" s="79"/>
      <c r="L233" s="80"/>
      <c r="M233" s="81"/>
      <c r="N233" s="82"/>
    </row>
    <row r="234">
      <c r="A234" s="69"/>
      <c r="F234" s="74"/>
      <c r="G234" s="116" t="s">
        <v>201</v>
      </c>
      <c r="H234" s="117">
        <f>SUBTOTAL(9, H218:H233)</f>
        <v>0</v>
      </c>
      <c r="I234" s="77"/>
      <c r="J234" s="78"/>
      <c r="K234" s="79"/>
      <c r="L234" s="80"/>
      <c r="M234" s="81"/>
      <c r="N234" s="82"/>
    </row>
    <row r="235">
      <c r="A235" s="118" t="s">
        <v>590</v>
      </c>
      <c r="B235" s="119" t="s">
        <v>215</v>
      </c>
      <c r="C235" s="120" t="s">
        <v>163</v>
      </c>
      <c r="D235" s="121" t="s">
        <v>8</v>
      </c>
      <c r="E235" s="121" t="s">
        <v>164</v>
      </c>
      <c r="F235" s="120" t="s">
        <v>216</v>
      </c>
      <c r="G235" s="120" t="s">
        <v>10</v>
      </c>
      <c r="H235" s="121" t="s">
        <v>164</v>
      </c>
      <c r="I235" s="122" t="s">
        <v>10</v>
      </c>
      <c r="J235" s="121" t="s">
        <v>164</v>
      </c>
      <c r="K235" s="120" t="s">
        <v>166</v>
      </c>
      <c r="L235" s="121" t="s">
        <v>164</v>
      </c>
      <c r="M235" s="81"/>
      <c r="N235" s="82"/>
    </row>
    <row r="236">
      <c r="A236" s="69"/>
      <c r="B236" s="105"/>
      <c r="C236" s="71" t="s">
        <v>163</v>
      </c>
      <c r="D236" s="72"/>
      <c r="E236" s="73" t="str">
        <f t="shared" ref="E236:E241" si="29">IF(OR(B236="", D236=""), "⏳", B236*D236)</f>
        <v>⏳</v>
      </c>
      <c r="F236" s="74" t="s">
        <v>169</v>
      </c>
      <c r="G236" s="75" t="str">
        <f>FIXED('Copy of harian'!B242, 0, FALSE) &amp; " x Rp 120"</f>
        <v>0 x Rp 120</v>
      </c>
      <c r="H236" s="95">
        <f t="shared" ref="H236:H237" si="30">IF(OR(G236="", G236="---", NOT(ISNUMBER(SEARCH(" x ", G236)))), 0, VALUE(SUBSTITUTE(LEFT(G236, SEARCH(" x ", G236)-1), ".", "")) * VALUE(MID(G236, SEARCH(" x ", G236)+3, LEN(G236))))</f>
        <v>0</v>
      </c>
      <c r="I236" s="77" t="s">
        <v>172</v>
      </c>
      <c r="J236" s="78"/>
      <c r="K236" s="79"/>
      <c r="L236" s="80"/>
      <c r="M236" s="81"/>
      <c r="N236" s="82"/>
    </row>
    <row r="237">
      <c r="A237" s="69"/>
      <c r="B237" s="124"/>
      <c r="C237" s="84" t="s">
        <v>163</v>
      </c>
      <c r="D237" s="85"/>
      <c r="E237" s="86" t="str">
        <f t="shared" si="29"/>
        <v>⏳</v>
      </c>
      <c r="F237" s="87" t="s">
        <v>176</v>
      </c>
      <c r="G237" s="88" t="str">
        <f>FIXED('Copy of harian'!B242, 0, FALSE) &amp; " x Rp 170"</f>
        <v>0 x Rp 170</v>
      </c>
      <c r="H237" s="89">
        <f t="shared" si="30"/>
        <v>0</v>
      </c>
      <c r="I237" s="90" t="s">
        <v>225</v>
      </c>
      <c r="J237" s="91">
        <f>E242</f>
        <v>0</v>
      </c>
      <c r="K237" s="92"/>
      <c r="L237" s="93"/>
      <c r="M237" s="81"/>
      <c r="N237" s="82"/>
    </row>
    <row r="238">
      <c r="A238" s="69"/>
      <c r="B238" s="105"/>
      <c r="C238" s="71" t="s">
        <v>163</v>
      </c>
      <c r="D238" s="72"/>
      <c r="E238" s="73" t="str">
        <f t="shared" si="29"/>
        <v>⏳</v>
      </c>
      <c r="F238" s="74" t="s">
        <v>183</v>
      </c>
      <c r="G238" s="94"/>
      <c r="H238" s="95"/>
      <c r="I238" s="77" t="s">
        <v>229</v>
      </c>
      <c r="J238" s="78" t="str">
        <f>IF(H252&gt;0, H252, "")</f>
        <v/>
      </c>
      <c r="K238" s="79"/>
      <c r="L238" s="80"/>
      <c r="M238" s="81"/>
      <c r="N238" s="82"/>
    </row>
    <row r="239">
      <c r="A239" s="69"/>
      <c r="B239" s="124"/>
      <c r="C239" s="84" t="s">
        <v>163</v>
      </c>
      <c r="D239" s="85"/>
      <c r="E239" s="86" t="str">
        <f t="shared" si="29"/>
        <v>⏳</v>
      </c>
      <c r="F239" s="87" t="s">
        <v>188</v>
      </c>
      <c r="G239" s="96"/>
      <c r="H239" s="89"/>
      <c r="I239" s="90" t="s">
        <v>166</v>
      </c>
      <c r="J239" s="91"/>
      <c r="K239" s="92"/>
      <c r="L239" s="93"/>
      <c r="M239" s="81"/>
      <c r="N239" s="82"/>
    </row>
    <row r="240">
      <c r="A240" s="69"/>
      <c r="B240" s="105"/>
      <c r="C240" s="71" t="s">
        <v>163</v>
      </c>
      <c r="D240" s="72"/>
      <c r="E240" s="73" t="str">
        <f t="shared" si="29"/>
        <v>⏳</v>
      </c>
      <c r="F240" s="74"/>
      <c r="G240" s="94"/>
      <c r="H240" s="95"/>
      <c r="I240" s="77" t="s">
        <v>195</v>
      </c>
      <c r="J240" s="78"/>
      <c r="K240" s="79"/>
      <c r="L240" s="80"/>
      <c r="M240" s="81"/>
      <c r="N240" s="82"/>
    </row>
    <row r="241">
      <c r="A241" s="69"/>
      <c r="B241" s="124"/>
      <c r="C241" s="84"/>
      <c r="D241" s="85"/>
      <c r="E241" s="86" t="str">
        <f t="shared" si="29"/>
        <v>⏳</v>
      </c>
      <c r="F241" s="87"/>
      <c r="G241" s="96"/>
      <c r="H241" s="89"/>
      <c r="I241" s="90"/>
      <c r="J241" s="91"/>
      <c r="K241" s="79"/>
      <c r="L241" s="80"/>
      <c r="M241" s="81"/>
      <c r="N241" s="82"/>
    </row>
    <row r="242">
      <c r="A242" s="69"/>
      <c r="B242" s="99">
        <f>SUBTOTAL(9, B236:B241)</f>
        <v>0</v>
      </c>
      <c r="C242" s="100"/>
      <c r="D242" s="101"/>
      <c r="E242" s="132">
        <f>SUBTOTAL(9, E236:E241)</f>
        <v>0</v>
      </c>
      <c r="F242" s="74"/>
      <c r="G242" s="94"/>
      <c r="H242" s="95"/>
      <c r="I242" s="103" t="s">
        <v>201</v>
      </c>
      <c r="J242" s="104">
        <f>IF(OR(B242=0, B242=""), 0, IFERROR(SUM(J236, J237, J240) - SUM(J238, J239) + J241, 0))</f>
        <v>0</v>
      </c>
      <c r="K242" s="79"/>
      <c r="L242" s="80"/>
      <c r="M242" s="81"/>
      <c r="N242" s="82"/>
    </row>
    <row r="243">
      <c r="A243" s="69"/>
      <c r="B243" s="105"/>
      <c r="F243" s="87"/>
      <c r="G243" s="96"/>
      <c r="H243" s="89"/>
      <c r="I243" s="106" t="s">
        <v>205</v>
      </c>
      <c r="J243" s="125"/>
      <c r="K243" s="79"/>
      <c r="L243" s="80"/>
      <c r="M243" s="81"/>
      <c r="N243" s="82"/>
    </row>
    <row r="244">
      <c r="A244" s="69"/>
      <c r="F244" s="74"/>
      <c r="G244" s="94"/>
      <c r="H244" s="95"/>
      <c r="I244" s="108" t="s">
        <v>208</v>
      </c>
      <c r="J244" s="109">
        <f>SUM(J242) - SUM(J243)</f>
        <v>0</v>
      </c>
      <c r="K244" s="79"/>
      <c r="L244" s="80"/>
      <c r="M244" s="81"/>
      <c r="N244" s="82"/>
    </row>
    <row r="245">
      <c r="A245" s="69"/>
      <c r="F245" s="87"/>
      <c r="G245" s="96"/>
      <c r="H245" s="89"/>
      <c r="I245" s="77"/>
      <c r="J245" s="78"/>
      <c r="K245" s="79"/>
      <c r="L245" s="80"/>
      <c r="M245" s="81"/>
      <c r="N245" s="82"/>
    </row>
    <row r="246">
      <c r="A246" s="69"/>
      <c r="F246" s="74"/>
      <c r="G246" s="94"/>
      <c r="H246" s="95"/>
      <c r="I246" s="77"/>
      <c r="J246" s="78"/>
      <c r="K246" s="79"/>
      <c r="L246" s="80"/>
      <c r="M246" s="81"/>
      <c r="N246" s="82"/>
    </row>
    <row r="247">
      <c r="A247" s="69"/>
      <c r="F247" s="87"/>
      <c r="G247" s="96"/>
      <c r="H247" s="89"/>
      <c r="I247" s="126"/>
      <c r="J247" s="113"/>
      <c r="K247" s="79"/>
      <c r="L247" s="80"/>
      <c r="M247" s="81"/>
      <c r="N247" s="82"/>
    </row>
    <row r="248">
      <c r="A248" s="69"/>
      <c r="F248" s="74"/>
      <c r="G248" s="94"/>
      <c r="H248" s="95"/>
      <c r="I248" s="129" t="s">
        <v>213</v>
      </c>
      <c r="J248" s="130">
        <f>IF(OR(B242=0, B242=""), 0, IFERROR(E242-H252, 0))</f>
        <v>0</v>
      </c>
      <c r="K248" s="79"/>
      <c r="L248" s="80"/>
      <c r="M248" s="81"/>
      <c r="N248" s="82"/>
    </row>
    <row r="249">
      <c r="A249" s="69"/>
      <c r="F249" s="87"/>
      <c r="G249" s="96"/>
      <c r="H249" s="89"/>
      <c r="I249" s="77"/>
      <c r="J249" s="78"/>
      <c r="K249" s="79"/>
      <c r="L249" s="80"/>
      <c r="M249" s="81"/>
      <c r="N249" s="82"/>
    </row>
    <row r="250">
      <c r="A250" s="69"/>
      <c r="F250" s="74"/>
      <c r="G250" s="94"/>
      <c r="H250" s="95"/>
      <c r="I250" s="77"/>
      <c r="J250" s="78"/>
      <c r="K250" s="79"/>
      <c r="L250" s="80"/>
      <c r="M250" s="81"/>
      <c r="N250" s="82"/>
    </row>
    <row r="251">
      <c r="A251" s="69"/>
      <c r="F251" s="87"/>
      <c r="G251" s="96"/>
      <c r="H251" s="89"/>
      <c r="I251" s="77"/>
      <c r="J251" s="78"/>
      <c r="K251" s="79"/>
      <c r="L251" s="80"/>
      <c r="M251" s="81"/>
      <c r="N251" s="82"/>
    </row>
    <row r="252">
      <c r="A252" s="69"/>
      <c r="F252" s="74"/>
      <c r="G252" s="116" t="s">
        <v>201</v>
      </c>
      <c r="H252" s="117">
        <f>SUBTOTAL(9, H236:H251)</f>
        <v>0</v>
      </c>
      <c r="I252" s="77"/>
      <c r="J252" s="78"/>
      <c r="K252" s="79"/>
      <c r="L252" s="80"/>
      <c r="M252" s="81"/>
      <c r="N252" s="82"/>
    </row>
    <row r="253">
      <c r="A253" s="118" t="s">
        <v>594</v>
      </c>
      <c r="B253" s="119" t="s">
        <v>162</v>
      </c>
      <c r="C253" s="120" t="s">
        <v>163</v>
      </c>
      <c r="D253" s="121" t="s">
        <v>8</v>
      </c>
      <c r="E253" s="121" t="s">
        <v>164</v>
      </c>
      <c r="F253" s="120" t="s">
        <v>165</v>
      </c>
      <c r="G253" s="120" t="s">
        <v>10</v>
      </c>
      <c r="H253" s="121" t="s">
        <v>164</v>
      </c>
      <c r="I253" s="122" t="s">
        <v>10</v>
      </c>
      <c r="J253" s="121" t="s">
        <v>164</v>
      </c>
      <c r="K253" s="120" t="s">
        <v>166</v>
      </c>
      <c r="L253" s="121" t="s">
        <v>164</v>
      </c>
      <c r="M253" s="81"/>
      <c r="N253" s="82"/>
    </row>
    <row r="254">
      <c r="A254" s="69"/>
      <c r="B254" s="105"/>
      <c r="C254" s="71" t="s">
        <v>163</v>
      </c>
      <c r="D254" s="72"/>
      <c r="E254" s="73" t="str">
        <f t="shared" ref="E254:E259" si="31">IF(OR(B254="", D254=""), "⏳", B254*D254)</f>
        <v>⏳</v>
      </c>
      <c r="F254" s="74" t="s">
        <v>169</v>
      </c>
      <c r="G254" s="75" t="str">
        <f>FIXED('Copy of harian'!B260, 0, FALSE) &amp; " x Rp 120"</f>
        <v>0 x Rp 120</v>
      </c>
      <c r="H254" s="95">
        <f t="shared" ref="H254:H255" si="32">IF(OR(G254="", G254="---", NOT(ISNUMBER(SEARCH(" x ", G254)))), 0, VALUE(SUBSTITUTE(LEFT(G254, SEARCH(" x ", G254)-1), ".", "")) * VALUE(MID(G254, SEARCH(" x ", G254)+3, LEN(G254))))</f>
        <v>0</v>
      </c>
      <c r="I254" s="77" t="s">
        <v>172</v>
      </c>
      <c r="J254" s="78"/>
      <c r="K254" s="79"/>
      <c r="L254" s="80"/>
      <c r="M254" s="81"/>
      <c r="N254" s="82"/>
    </row>
    <row r="255">
      <c r="A255" s="69"/>
      <c r="B255" s="124"/>
      <c r="C255" s="84" t="s">
        <v>163</v>
      </c>
      <c r="D255" s="85"/>
      <c r="E255" s="86" t="str">
        <f t="shared" si="31"/>
        <v>⏳</v>
      </c>
      <c r="F255" s="87" t="s">
        <v>176</v>
      </c>
      <c r="G255" s="88" t="str">
        <f>FIXED('Copy of harian'!B260, 0, FALSE) &amp; " x Rp 170"</f>
        <v>0 x Rp 170</v>
      </c>
      <c r="H255" s="89">
        <f t="shared" si="32"/>
        <v>0</v>
      </c>
      <c r="I255" s="90" t="s">
        <v>179</v>
      </c>
      <c r="J255" s="91">
        <f>E260</f>
        <v>0</v>
      </c>
      <c r="K255" s="92"/>
      <c r="L255" s="93"/>
      <c r="M255" s="81"/>
      <c r="N255" s="82"/>
    </row>
    <row r="256">
      <c r="A256" s="69"/>
      <c r="B256" s="105"/>
      <c r="C256" s="71" t="s">
        <v>163</v>
      </c>
      <c r="D256" s="72"/>
      <c r="E256" s="73" t="str">
        <f t="shared" si="31"/>
        <v>⏳</v>
      </c>
      <c r="F256" s="74" t="s">
        <v>183</v>
      </c>
      <c r="G256" s="94"/>
      <c r="H256" s="95"/>
      <c r="I256" s="77" t="s">
        <v>184</v>
      </c>
      <c r="J256" s="78" t="str">
        <f>IF(H270&gt;0, H270, "")</f>
        <v/>
      </c>
      <c r="K256" s="79"/>
      <c r="L256" s="80"/>
      <c r="M256" s="81"/>
      <c r="N256" s="82"/>
    </row>
    <row r="257">
      <c r="A257" s="69"/>
      <c r="B257" s="124"/>
      <c r="C257" s="84" t="s">
        <v>163</v>
      </c>
      <c r="D257" s="85"/>
      <c r="E257" s="86" t="str">
        <f t="shared" si="31"/>
        <v>⏳</v>
      </c>
      <c r="F257" s="87" t="s">
        <v>188</v>
      </c>
      <c r="G257" s="96"/>
      <c r="H257" s="89"/>
      <c r="I257" s="90" t="s">
        <v>166</v>
      </c>
      <c r="J257" s="91"/>
      <c r="K257" s="92"/>
      <c r="L257" s="93"/>
      <c r="M257" s="81"/>
      <c r="N257" s="82"/>
    </row>
    <row r="258">
      <c r="A258" s="69"/>
      <c r="B258" s="105"/>
      <c r="C258" s="71" t="s">
        <v>163</v>
      </c>
      <c r="D258" s="72"/>
      <c r="E258" s="73" t="str">
        <f t="shared" si="31"/>
        <v>⏳</v>
      </c>
      <c r="F258" s="74"/>
      <c r="G258" s="94"/>
      <c r="H258" s="95"/>
      <c r="I258" s="77" t="s">
        <v>195</v>
      </c>
      <c r="J258" s="78"/>
      <c r="K258" s="79"/>
      <c r="L258" s="80"/>
      <c r="M258" s="81"/>
      <c r="N258" s="82"/>
    </row>
    <row r="259">
      <c r="A259" s="69"/>
      <c r="B259" s="124"/>
      <c r="C259" s="84"/>
      <c r="D259" s="85"/>
      <c r="E259" s="86" t="str">
        <f t="shared" si="31"/>
        <v>⏳</v>
      </c>
      <c r="F259" s="87"/>
      <c r="G259" s="96"/>
      <c r="H259" s="89"/>
      <c r="I259" s="90"/>
      <c r="J259" s="91"/>
      <c r="K259" s="79"/>
      <c r="L259" s="80"/>
      <c r="M259" s="81"/>
      <c r="N259" s="82"/>
    </row>
    <row r="260">
      <c r="A260" s="69"/>
      <c r="B260" s="99">
        <f>SUBTOTAL(9, B254:B259)</f>
        <v>0</v>
      </c>
      <c r="C260" s="100"/>
      <c r="D260" s="101"/>
      <c r="E260" s="132">
        <f>SUBTOTAL(9, E254:E259)</f>
        <v>0</v>
      </c>
      <c r="F260" s="74"/>
      <c r="G260" s="94"/>
      <c r="H260" s="95"/>
      <c r="I260" s="103" t="s">
        <v>201</v>
      </c>
      <c r="J260" s="104">
        <f>IF(OR(B260=0, B260=""), 0, IFERROR(SUM(J254, J255, J258) - SUM(J256, J257) + J259, 0))</f>
        <v>0</v>
      </c>
      <c r="K260" s="79"/>
      <c r="L260" s="80"/>
      <c r="M260" s="81"/>
      <c r="N260" s="82"/>
    </row>
    <row r="261">
      <c r="A261" s="69"/>
      <c r="B261" s="105"/>
      <c r="F261" s="87"/>
      <c r="G261" s="96"/>
      <c r="H261" s="89"/>
      <c r="I261" s="106" t="s">
        <v>205</v>
      </c>
      <c r="J261" s="125"/>
      <c r="K261" s="79"/>
      <c r="L261" s="80"/>
      <c r="M261" s="81"/>
      <c r="N261" s="82"/>
    </row>
    <row r="262">
      <c r="A262" s="69"/>
      <c r="F262" s="74"/>
      <c r="G262" s="94"/>
      <c r="H262" s="95"/>
      <c r="I262" s="108" t="s">
        <v>208</v>
      </c>
      <c r="J262" s="109">
        <f>SUM(J260) - SUM(J261)</f>
        <v>0</v>
      </c>
      <c r="K262" s="79"/>
      <c r="L262" s="80"/>
      <c r="M262" s="81"/>
      <c r="N262" s="82"/>
    </row>
    <row r="263">
      <c r="A263" s="69"/>
      <c r="F263" s="87"/>
      <c r="G263" s="96"/>
      <c r="H263" s="89"/>
      <c r="I263" s="77"/>
      <c r="J263" s="78"/>
      <c r="K263" s="79"/>
      <c r="L263" s="80"/>
      <c r="M263" s="81"/>
      <c r="N263" s="82"/>
    </row>
    <row r="264">
      <c r="A264" s="69"/>
      <c r="F264" s="74"/>
      <c r="G264" s="94"/>
      <c r="H264" s="95"/>
      <c r="I264" s="77"/>
      <c r="J264" s="78"/>
      <c r="K264" s="79"/>
      <c r="L264" s="80"/>
      <c r="M264" s="81"/>
      <c r="N264" s="82"/>
    </row>
    <row r="265">
      <c r="A265" s="69"/>
      <c r="F265" s="87"/>
      <c r="G265" s="96"/>
      <c r="H265" s="89"/>
      <c r="I265" s="126"/>
      <c r="J265" s="113"/>
      <c r="K265" s="79"/>
      <c r="L265" s="80"/>
      <c r="M265" s="81"/>
      <c r="N265" s="82"/>
    </row>
    <row r="266">
      <c r="A266" s="69"/>
      <c r="F266" s="74"/>
      <c r="G266" s="94"/>
      <c r="H266" s="95"/>
      <c r="I266" s="129" t="s">
        <v>213</v>
      </c>
      <c r="J266" s="130">
        <f>IF(OR(B260=0, B260=""), 0, IFERROR(E260-H270, 0))</f>
        <v>0</v>
      </c>
      <c r="K266" s="79"/>
      <c r="L266" s="80"/>
      <c r="M266" s="81"/>
      <c r="N266" s="82"/>
    </row>
    <row r="267">
      <c r="A267" s="69"/>
      <c r="F267" s="87"/>
      <c r="G267" s="96"/>
      <c r="H267" s="89"/>
      <c r="I267" s="77"/>
      <c r="J267" s="78"/>
      <c r="K267" s="79"/>
      <c r="L267" s="80"/>
      <c r="M267" s="81"/>
      <c r="N267" s="82"/>
    </row>
    <row r="268">
      <c r="A268" s="69"/>
      <c r="F268" s="74"/>
      <c r="G268" s="94"/>
      <c r="H268" s="95"/>
      <c r="I268" s="77"/>
      <c r="J268" s="78"/>
      <c r="K268" s="79"/>
      <c r="L268" s="80"/>
      <c r="M268" s="81"/>
      <c r="N268" s="82"/>
    </row>
    <row r="269">
      <c r="A269" s="69"/>
      <c r="F269" s="87"/>
      <c r="G269" s="96"/>
      <c r="H269" s="89"/>
      <c r="I269" s="77"/>
      <c r="J269" s="78"/>
      <c r="K269" s="79"/>
      <c r="L269" s="80"/>
      <c r="M269" s="81"/>
      <c r="N269" s="82"/>
    </row>
    <row r="270">
      <c r="A270" s="69"/>
      <c r="F270" s="74"/>
      <c r="G270" s="116" t="s">
        <v>201</v>
      </c>
      <c r="H270" s="117">
        <f>SUBTOTAL(9, H254:H269)</f>
        <v>0</v>
      </c>
      <c r="I270" s="77"/>
      <c r="J270" s="78"/>
      <c r="K270" s="79"/>
      <c r="L270" s="80"/>
      <c r="M270" s="81"/>
      <c r="N270" s="82"/>
    </row>
    <row r="271">
      <c r="A271" s="118" t="s">
        <v>594</v>
      </c>
      <c r="B271" s="119" t="s">
        <v>215</v>
      </c>
      <c r="C271" s="120" t="s">
        <v>163</v>
      </c>
      <c r="D271" s="121" t="s">
        <v>8</v>
      </c>
      <c r="E271" s="121" t="s">
        <v>164</v>
      </c>
      <c r="F271" s="120" t="s">
        <v>216</v>
      </c>
      <c r="G271" s="120" t="s">
        <v>10</v>
      </c>
      <c r="H271" s="121" t="s">
        <v>164</v>
      </c>
      <c r="I271" s="122" t="s">
        <v>10</v>
      </c>
      <c r="J271" s="121" t="s">
        <v>164</v>
      </c>
      <c r="K271" s="120" t="s">
        <v>166</v>
      </c>
      <c r="L271" s="121" t="s">
        <v>164</v>
      </c>
      <c r="M271" s="81"/>
      <c r="N271" s="82"/>
    </row>
    <row r="272">
      <c r="A272" s="69"/>
      <c r="B272" s="105"/>
      <c r="C272" s="71" t="s">
        <v>163</v>
      </c>
      <c r="D272" s="72"/>
      <c r="E272" s="73" t="str">
        <f t="shared" ref="E272:E277" si="33">IF(OR(B272="", D272=""), "⏳", B272*D272)</f>
        <v>⏳</v>
      </c>
      <c r="F272" s="74" t="s">
        <v>169</v>
      </c>
      <c r="G272" s="75" t="str">
        <f>FIXED('Copy of harian'!B278, 0, FALSE) &amp; " x Rp 120"</f>
        <v>0 x Rp 120</v>
      </c>
      <c r="H272" s="95">
        <f t="shared" ref="H272:H273" si="34">IF(OR(G272="", G272="---", NOT(ISNUMBER(SEARCH(" x ", G272)))), 0, VALUE(SUBSTITUTE(LEFT(G272, SEARCH(" x ", G272)-1), ".", "")) * VALUE(MID(G272, SEARCH(" x ", G272)+3, LEN(G272))))</f>
        <v>0</v>
      </c>
      <c r="I272" s="77" t="s">
        <v>172</v>
      </c>
      <c r="J272" s="78"/>
      <c r="K272" s="79"/>
      <c r="L272" s="80"/>
      <c r="M272" s="81"/>
      <c r="N272" s="82"/>
    </row>
    <row r="273">
      <c r="A273" s="69"/>
      <c r="B273" s="124"/>
      <c r="C273" s="84" t="s">
        <v>163</v>
      </c>
      <c r="D273" s="85"/>
      <c r="E273" s="86" t="str">
        <f t="shared" si="33"/>
        <v>⏳</v>
      </c>
      <c r="F273" s="87" t="s">
        <v>176</v>
      </c>
      <c r="G273" s="88" t="str">
        <f>FIXED('Copy of harian'!B278, 0, FALSE) &amp; " x Rp 170"</f>
        <v>0 x Rp 170</v>
      </c>
      <c r="H273" s="89">
        <f t="shared" si="34"/>
        <v>0</v>
      </c>
      <c r="I273" s="90" t="s">
        <v>225</v>
      </c>
      <c r="J273" s="91">
        <f>E278</f>
        <v>0</v>
      </c>
      <c r="K273" s="92"/>
      <c r="L273" s="93"/>
      <c r="M273" s="81"/>
      <c r="N273" s="82"/>
    </row>
    <row r="274">
      <c r="A274" s="69"/>
      <c r="B274" s="105"/>
      <c r="C274" s="71" t="s">
        <v>163</v>
      </c>
      <c r="D274" s="72"/>
      <c r="E274" s="73" t="str">
        <f t="shared" si="33"/>
        <v>⏳</v>
      </c>
      <c r="F274" s="74" t="s">
        <v>183</v>
      </c>
      <c r="G274" s="94"/>
      <c r="H274" s="95"/>
      <c r="I274" s="77" t="s">
        <v>229</v>
      </c>
      <c r="J274" s="78" t="str">
        <f>IF(H288&gt;0, H288, "")</f>
        <v/>
      </c>
      <c r="K274" s="79"/>
      <c r="L274" s="80"/>
      <c r="M274" s="81"/>
      <c r="N274" s="82"/>
    </row>
    <row r="275">
      <c r="A275" s="69"/>
      <c r="B275" s="124"/>
      <c r="C275" s="84" t="s">
        <v>163</v>
      </c>
      <c r="D275" s="85"/>
      <c r="E275" s="86" t="str">
        <f t="shared" si="33"/>
        <v>⏳</v>
      </c>
      <c r="F275" s="87" t="s">
        <v>188</v>
      </c>
      <c r="G275" s="96"/>
      <c r="H275" s="89"/>
      <c r="I275" s="90" t="s">
        <v>166</v>
      </c>
      <c r="J275" s="91"/>
      <c r="K275" s="92"/>
      <c r="L275" s="93"/>
      <c r="M275" s="81"/>
      <c r="N275" s="82"/>
    </row>
    <row r="276">
      <c r="A276" s="69"/>
      <c r="B276" s="105"/>
      <c r="C276" s="71" t="s">
        <v>163</v>
      </c>
      <c r="D276" s="72"/>
      <c r="E276" s="73" t="str">
        <f t="shared" si="33"/>
        <v>⏳</v>
      </c>
      <c r="F276" s="74"/>
      <c r="G276" s="94"/>
      <c r="H276" s="95"/>
      <c r="I276" s="77" t="s">
        <v>195</v>
      </c>
      <c r="J276" s="78"/>
      <c r="K276" s="79"/>
      <c r="L276" s="80"/>
      <c r="M276" s="81"/>
      <c r="N276" s="82"/>
    </row>
    <row r="277">
      <c r="A277" s="69"/>
      <c r="B277" s="124"/>
      <c r="C277" s="84"/>
      <c r="D277" s="85"/>
      <c r="E277" s="86" t="str">
        <f t="shared" si="33"/>
        <v>⏳</v>
      </c>
      <c r="F277" s="87"/>
      <c r="G277" s="96"/>
      <c r="H277" s="89"/>
      <c r="I277" s="90"/>
      <c r="J277" s="91"/>
      <c r="K277" s="79"/>
      <c r="L277" s="80"/>
      <c r="M277" s="81"/>
      <c r="N277" s="82"/>
    </row>
    <row r="278">
      <c r="A278" s="69"/>
      <c r="B278" s="99">
        <f>SUBTOTAL(9, B272:B277)</f>
        <v>0</v>
      </c>
      <c r="C278" s="100"/>
      <c r="D278" s="101"/>
      <c r="E278" s="132">
        <f>SUBTOTAL(9, E272:E277)</f>
        <v>0</v>
      </c>
      <c r="F278" s="74"/>
      <c r="G278" s="94"/>
      <c r="H278" s="95"/>
      <c r="I278" s="103" t="s">
        <v>201</v>
      </c>
      <c r="J278" s="104">
        <f>IF(OR(B278=0, B278=""), 0, IFERROR(SUM(J272, J273, J276) - SUM(J274, J275) + J277, 0))</f>
        <v>0</v>
      </c>
      <c r="K278" s="79"/>
      <c r="L278" s="80"/>
      <c r="M278" s="81"/>
      <c r="N278" s="82"/>
    </row>
    <row r="279">
      <c r="A279" s="69"/>
      <c r="B279" s="105"/>
      <c r="F279" s="87"/>
      <c r="G279" s="96"/>
      <c r="H279" s="89"/>
      <c r="I279" s="106" t="s">
        <v>205</v>
      </c>
      <c r="J279" s="125"/>
      <c r="K279" s="79"/>
      <c r="L279" s="80"/>
      <c r="M279" s="81"/>
      <c r="N279" s="82"/>
    </row>
    <row r="280">
      <c r="A280" s="69"/>
      <c r="F280" s="74"/>
      <c r="G280" s="94"/>
      <c r="H280" s="95"/>
      <c r="I280" s="108" t="s">
        <v>208</v>
      </c>
      <c r="J280" s="109">
        <f>SUM(J278) - SUM(J279)</f>
        <v>0</v>
      </c>
      <c r="K280" s="79"/>
      <c r="L280" s="80"/>
      <c r="M280" s="81"/>
      <c r="N280" s="82"/>
    </row>
    <row r="281">
      <c r="A281" s="69"/>
      <c r="F281" s="87"/>
      <c r="G281" s="96"/>
      <c r="H281" s="89"/>
      <c r="I281" s="77"/>
      <c r="J281" s="78"/>
      <c r="K281" s="79"/>
      <c r="L281" s="80"/>
      <c r="M281" s="81"/>
      <c r="N281" s="82"/>
    </row>
    <row r="282">
      <c r="A282" s="69"/>
      <c r="F282" s="74"/>
      <c r="G282" s="94"/>
      <c r="H282" s="95"/>
      <c r="I282" s="77"/>
      <c r="J282" s="78"/>
      <c r="K282" s="79"/>
      <c r="L282" s="80"/>
      <c r="M282" s="81"/>
      <c r="N282" s="82"/>
    </row>
    <row r="283">
      <c r="A283" s="69"/>
      <c r="F283" s="87"/>
      <c r="G283" s="96"/>
      <c r="H283" s="89"/>
      <c r="I283" s="126"/>
      <c r="J283" s="113"/>
      <c r="K283" s="79"/>
      <c r="L283" s="80"/>
      <c r="M283" s="81"/>
      <c r="N283" s="82"/>
    </row>
    <row r="284">
      <c r="A284" s="69"/>
      <c r="F284" s="74"/>
      <c r="G284" s="94"/>
      <c r="H284" s="95"/>
      <c r="I284" s="129" t="s">
        <v>213</v>
      </c>
      <c r="J284" s="130">
        <f>IF(OR(B278=0, B278=""), 0, IFERROR(E278-H288, 0))</f>
        <v>0</v>
      </c>
      <c r="K284" s="79"/>
      <c r="L284" s="80"/>
      <c r="M284" s="81"/>
      <c r="N284" s="82"/>
    </row>
    <row r="285">
      <c r="A285" s="69"/>
      <c r="F285" s="87"/>
      <c r="G285" s="96"/>
      <c r="H285" s="89"/>
      <c r="I285" s="77"/>
      <c r="J285" s="78"/>
      <c r="K285" s="79"/>
      <c r="L285" s="80"/>
      <c r="M285" s="81"/>
      <c r="N285" s="82"/>
    </row>
    <row r="286">
      <c r="A286" s="69"/>
      <c r="F286" s="74"/>
      <c r="G286" s="94"/>
      <c r="H286" s="95"/>
      <c r="I286" s="77"/>
      <c r="J286" s="78"/>
      <c r="K286" s="79"/>
      <c r="L286" s="80"/>
      <c r="M286" s="81"/>
      <c r="N286" s="82"/>
    </row>
    <row r="287">
      <c r="A287" s="69"/>
      <c r="F287" s="87"/>
      <c r="G287" s="96"/>
      <c r="H287" s="89"/>
      <c r="I287" s="77"/>
      <c r="J287" s="78"/>
      <c r="K287" s="79"/>
      <c r="L287" s="80"/>
      <c r="M287" s="81"/>
      <c r="N287" s="82"/>
    </row>
    <row r="288">
      <c r="A288" s="69"/>
      <c r="F288" s="74"/>
      <c r="G288" s="116" t="s">
        <v>201</v>
      </c>
      <c r="H288" s="117">
        <f>SUBTOTAL(9, H272:H287)</f>
        <v>0</v>
      </c>
      <c r="I288" s="77"/>
      <c r="J288" s="78"/>
      <c r="K288" s="79"/>
      <c r="L288" s="80"/>
      <c r="M288" s="81"/>
      <c r="N288" s="82"/>
    </row>
    <row r="289">
      <c r="A289" s="118" t="s">
        <v>595</v>
      </c>
      <c r="B289" s="119" t="s">
        <v>162</v>
      </c>
      <c r="C289" s="120" t="s">
        <v>163</v>
      </c>
      <c r="D289" s="121" t="s">
        <v>8</v>
      </c>
      <c r="E289" s="121" t="s">
        <v>164</v>
      </c>
      <c r="F289" s="120" t="s">
        <v>165</v>
      </c>
      <c r="G289" s="120" t="s">
        <v>10</v>
      </c>
      <c r="H289" s="121" t="s">
        <v>164</v>
      </c>
      <c r="I289" s="122" t="s">
        <v>10</v>
      </c>
      <c r="J289" s="121" t="s">
        <v>164</v>
      </c>
      <c r="K289" s="120" t="s">
        <v>166</v>
      </c>
      <c r="L289" s="121" t="s">
        <v>164</v>
      </c>
      <c r="M289" s="81"/>
      <c r="N289" s="82"/>
    </row>
    <row r="290">
      <c r="A290" s="69"/>
      <c r="B290" s="105"/>
      <c r="C290" s="71" t="s">
        <v>163</v>
      </c>
      <c r="D290" s="72"/>
      <c r="E290" s="73" t="str">
        <f t="shared" ref="E290:E295" si="35">IF(OR(B290="", D290=""), "⏳", B290*D290)</f>
        <v>⏳</v>
      </c>
      <c r="F290" s="74" t="s">
        <v>169</v>
      </c>
      <c r="G290" s="75" t="str">
        <f>FIXED('Copy of harian'!B296, 0, FALSE) &amp; " x Rp 120"</f>
        <v>0 x Rp 120</v>
      </c>
      <c r="H290" s="95">
        <f t="shared" ref="H290:H291" si="36">IF(OR(G290="", G290="---", NOT(ISNUMBER(SEARCH(" x ", G290)))), 0, VALUE(SUBSTITUTE(LEFT(G290, SEARCH(" x ", G290)-1), ".", "")) * VALUE(MID(G290, SEARCH(" x ", G290)+3, LEN(G290))))</f>
        <v>0</v>
      </c>
      <c r="I290" s="77" t="s">
        <v>172</v>
      </c>
      <c r="J290" s="78"/>
      <c r="K290" s="79"/>
      <c r="L290" s="80"/>
      <c r="M290" s="81"/>
      <c r="N290" s="82"/>
    </row>
    <row r="291">
      <c r="A291" s="69"/>
      <c r="B291" s="124"/>
      <c r="C291" s="84" t="s">
        <v>163</v>
      </c>
      <c r="D291" s="85"/>
      <c r="E291" s="86" t="str">
        <f t="shared" si="35"/>
        <v>⏳</v>
      </c>
      <c r="F291" s="87" t="s">
        <v>176</v>
      </c>
      <c r="G291" s="88" t="str">
        <f>FIXED('Copy of harian'!B296, 0, FALSE) &amp; " x Rp 170"</f>
        <v>0 x Rp 170</v>
      </c>
      <c r="H291" s="89">
        <f t="shared" si="36"/>
        <v>0</v>
      </c>
      <c r="I291" s="90" t="s">
        <v>179</v>
      </c>
      <c r="J291" s="91">
        <f>E296</f>
        <v>0</v>
      </c>
      <c r="K291" s="92"/>
      <c r="L291" s="93"/>
      <c r="M291" s="81"/>
      <c r="N291" s="82"/>
    </row>
    <row r="292">
      <c r="A292" s="69"/>
      <c r="B292" s="105"/>
      <c r="C292" s="71" t="s">
        <v>163</v>
      </c>
      <c r="D292" s="72"/>
      <c r="E292" s="73" t="str">
        <f t="shared" si="35"/>
        <v>⏳</v>
      </c>
      <c r="F292" s="74" t="s">
        <v>183</v>
      </c>
      <c r="G292" s="94"/>
      <c r="H292" s="95"/>
      <c r="I292" s="77" t="s">
        <v>184</v>
      </c>
      <c r="J292" s="78" t="str">
        <f>IF(H306&gt;0, H306, "")</f>
        <v/>
      </c>
      <c r="K292" s="79"/>
      <c r="L292" s="80"/>
      <c r="M292" s="81"/>
      <c r="N292" s="82"/>
    </row>
    <row r="293">
      <c r="A293" s="69"/>
      <c r="B293" s="124"/>
      <c r="C293" s="84" t="s">
        <v>163</v>
      </c>
      <c r="D293" s="85"/>
      <c r="E293" s="86" t="str">
        <f t="shared" si="35"/>
        <v>⏳</v>
      </c>
      <c r="F293" s="87" t="s">
        <v>188</v>
      </c>
      <c r="G293" s="96"/>
      <c r="H293" s="89"/>
      <c r="I293" s="90" t="s">
        <v>166</v>
      </c>
      <c r="J293" s="91"/>
      <c r="K293" s="92"/>
      <c r="L293" s="93"/>
      <c r="M293" s="81"/>
      <c r="N293" s="82"/>
    </row>
    <row r="294">
      <c r="A294" s="69"/>
      <c r="B294" s="105"/>
      <c r="C294" s="71" t="s">
        <v>163</v>
      </c>
      <c r="D294" s="72"/>
      <c r="E294" s="73" t="str">
        <f t="shared" si="35"/>
        <v>⏳</v>
      </c>
      <c r="F294" s="74"/>
      <c r="G294" s="94"/>
      <c r="H294" s="95"/>
      <c r="I294" s="77" t="s">
        <v>195</v>
      </c>
      <c r="J294" s="78"/>
      <c r="K294" s="79"/>
      <c r="L294" s="80"/>
      <c r="M294" s="81"/>
      <c r="N294" s="82"/>
    </row>
    <row r="295">
      <c r="A295" s="69"/>
      <c r="B295" s="124"/>
      <c r="C295" s="84"/>
      <c r="D295" s="85"/>
      <c r="E295" s="86" t="str">
        <f t="shared" si="35"/>
        <v>⏳</v>
      </c>
      <c r="F295" s="87"/>
      <c r="G295" s="96"/>
      <c r="H295" s="89"/>
      <c r="I295" s="90"/>
      <c r="J295" s="91"/>
      <c r="K295" s="79"/>
      <c r="L295" s="80"/>
      <c r="M295" s="81"/>
      <c r="N295" s="82"/>
    </row>
    <row r="296">
      <c r="A296" s="69"/>
      <c r="B296" s="99">
        <f>SUBTOTAL(9, B290:B295)</f>
        <v>0</v>
      </c>
      <c r="C296" s="100"/>
      <c r="D296" s="101"/>
      <c r="E296" s="132">
        <f>SUBTOTAL(9, E290:E295)</f>
        <v>0</v>
      </c>
      <c r="F296" s="74"/>
      <c r="G296" s="94"/>
      <c r="H296" s="95"/>
      <c r="I296" s="103" t="s">
        <v>201</v>
      </c>
      <c r="J296" s="104">
        <f>IF(OR(B296=0, B296=""), 0, IFERROR(SUM(J290, J291, J294) - SUM(J292, J293) + J295, 0))</f>
        <v>0</v>
      </c>
      <c r="K296" s="79"/>
      <c r="L296" s="80"/>
      <c r="M296" s="81"/>
      <c r="N296" s="82"/>
    </row>
    <row r="297">
      <c r="A297" s="69"/>
      <c r="B297" s="105"/>
      <c r="F297" s="87"/>
      <c r="G297" s="96"/>
      <c r="H297" s="89"/>
      <c r="I297" s="106" t="s">
        <v>205</v>
      </c>
      <c r="J297" s="125"/>
      <c r="K297" s="79"/>
      <c r="L297" s="80"/>
      <c r="M297" s="81"/>
      <c r="N297" s="82"/>
    </row>
    <row r="298">
      <c r="A298" s="69"/>
      <c r="F298" s="74"/>
      <c r="G298" s="94"/>
      <c r="H298" s="95"/>
      <c r="I298" s="108" t="s">
        <v>208</v>
      </c>
      <c r="J298" s="109">
        <f>SUM(J296) - SUM(J297)</f>
        <v>0</v>
      </c>
      <c r="K298" s="79"/>
      <c r="L298" s="80"/>
      <c r="M298" s="81"/>
      <c r="N298" s="82"/>
    </row>
    <row r="299">
      <c r="A299" s="69"/>
      <c r="F299" s="87"/>
      <c r="G299" s="96"/>
      <c r="H299" s="89"/>
      <c r="I299" s="77"/>
      <c r="J299" s="78"/>
      <c r="K299" s="79"/>
      <c r="L299" s="80"/>
      <c r="M299" s="81"/>
      <c r="N299" s="82"/>
    </row>
    <row r="300">
      <c r="A300" s="69"/>
      <c r="F300" s="74"/>
      <c r="G300" s="94"/>
      <c r="H300" s="95"/>
      <c r="I300" s="77"/>
      <c r="J300" s="78"/>
      <c r="K300" s="79"/>
      <c r="L300" s="80"/>
      <c r="M300" s="81"/>
      <c r="N300" s="82"/>
    </row>
    <row r="301">
      <c r="A301" s="69"/>
      <c r="F301" s="87"/>
      <c r="G301" s="96"/>
      <c r="H301" s="89"/>
      <c r="I301" s="126"/>
      <c r="J301" s="113"/>
      <c r="K301" s="79"/>
      <c r="L301" s="80"/>
      <c r="M301" s="81"/>
      <c r="N301" s="82"/>
    </row>
    <row r="302">
      <c r="A302" s="69"/>
      <c r="F302" s="74"/>
      <c r="G302" s="94"/>
      <c r="H302" s="95"/>
      <c r="I302" s="129" t="s">
        <v>213</v>
      </c>
      <c r="J302" s="130">
        <f>IF(OR(B296=0, B296=""), 0, IFERROR(E296-H306, 0))</f>
        <v>0</v>
      </c>
      <c r="K302" s="79"/>
      <c r="L302" s="80"/>
      <c r="M302" s="81"/>
      <c r="N302" s="82"/>
    </row>
    <row r="303">
      <c r="A303" s="69"/>
      <c r="F303" s="87"/>
      <c r="G303" s="96"/>
      <c r="H303" s="89"/>
      <c r="I303" s="77"/>
      <c r="J303" s="78"/>
      <c r="K303" s="79"/>
      <c r="L303" s="80"/>
      <c r="M303" s="81"/>
      <c r="N303" s="82"/>
    </row>
    <row r="304">
      <c r="A304" s="69"/>
      <c r="F304" s="74"/>
      <c r="G304" s="94"/>
      <c r="H304" s="95"/>
      <c r="I304" s="77"/>
      <c r="J304" s="78"/>
      <c r="K304" s="79"/>
      <c r="L304" s="80"/>
      <c r="M304" s="81"/>
      <c r="N304" s="82"/>
    </row>
    <row r="305">
      <c r="A305" s="69"/>
      <c r="F305" s="87"/>
      <c r="G305" s="96"/>
      <c r="H305" s="89"/>
      <c r="I305" s="77"/>
      <c r="J305" s="78"/>
      <c r="K305" s="79"/>
      <c r="L305" s="80"/>
      <c r="M305" s="81"/>
      <c r="N305" s="82"/>
    </row>
    <row r="306">
      <c r="A306" s="69"/>
      <c r="F306" s="74"/>
      <c r="G306" s="116" t="s">
        <v>201</v>
      </c>
      <c r="H306" s="117">
        <f>SUBTOTAL(9, H290:H305)</f>
        <v>0</v>
      </c>
      <c r="I306" s="77"/>
      <c r="J306" s="78"/>
      <c r="K306" s="79"/>
      <c r="L306" s="80"/>
      <c r="M306" s="81"/>
      <c r="N306" s="82"/>
    </row>
    <row r="307">
      <c r="A307" s="118" t="s">
        <v>595</v>
      </c>
      <c r="B307" s="119" t="s">
        <v>215</v>
      </c>
      <c r="C307" s="120" t="s">
        <v>163</v>
      </c>
      <c r="D307" s="121" t="s">
        <v>8</v>
      </c>
      <c r="E307" s="121" t="s">
        <v>164</v>
      </c>
      <c r="F307" s="120" t="s">
        <v>216</v>
      </c>
      <c r="G307" s="120" t="s">
        <v>10</v>
      </c>
      <c r="H307" s="121" t="s">
        <v>164</v>
      </c>
      <c r="I307" s="122" t="s">
        <v>10</v>
      </c>
      <c r="J307" s="121" t="s">
        <v>164</v>
      </c>
      <c r="K307" s="120" t="s">
        <v>166</v>
      </c>
      <c r="L307" s="121" t="s">
        <v>164</v>
      </c>
      <c r="M307" s="81"/>
      <c r="N307" s="82"/>
    </row>
    <row r="308">
      <c r="A308" s="69"/>
      <c r="B308" s="105"/>
      <c r="C308" s="71" t="s">
        <v>163</v>
      </c>
      <c r="D308" s="72"/>
      <c r="E308" s="73" t="str">
        <f t="shared" ref="E308:E313" si="37">IF(OR(B308="", D308=""), "⏳", B308*D308)</f>
        <v>⏳</v>
      </c>
      <c r="F308" s="74" t="s">
        <v>169</v>
      </c>
      <c r="G308" s="75" t="str">
        <f>FIXED('Copy of harian'!B314, 0, FALSE) &amp; " x Rp 120"</f>
        <v>0 x Rp 120</v>
      </c>
      <c r="H308" s="95">
        <f t="shared" ref="H308:H309" si="38">IF(OR(G308="", G308="---", NOT(ISNUMBER(SEARCH(" x ", G308)))), 0, VALUE(SUBSTITUTE(LEFT(G308, SEARCH(" x ", G308)-1), ".", "")) * VALUE(MID(G308, SEARCH(" x ", G308)+3, LEN(G308))))</f>
        <v>0</v>
      </c>
      <c r="I308" s="77" t="s">
        <v>172</v>
      </c>
      <c r="J308" s="78"/>
      <c r="K308" s="79"/>
      <c r="L308" s="80"/>
      <c r="M308" s="81"/>
      <c r="N308" s="82"/>
    </row>
    <row r="309">
      <c r="A309" s="69"/>
      <c r="B309" s="124"/>
      <c r="C309" s="84" t="s">
        <v>163</v>
      </c>
      <c r="D309" s="85"/>
      <c r="E309" s="86" t="str">
        <f t="shared" si="37"/>
        <v>⏳</v>
      </c>
      <c r="F309" s="87" t="s">
        <v>176</v>
      </c>
      <c r="G309" s="88" t="str">
        <f>FIXED('Copy of harian'!B314, 0, FALSE) &amp; " x Rp 170"</f>
        <v>0 x Rp 170</v>
      </c>
      <c r="H309" s="89">
        <f t="shared" si="38"/>
        <v>0</v>
      </c>
      <c r="I309" s="90" t="s">
        <v>225</v>
      </c>
      <c r="J309" s="91">
        <f>E314</f>
        <v>0</v>
      </c>
      <c r="K309" s="92"/>
      <c r="L309" s="93"/>
      <c r="M309" s="81"/>
      <c r="N309" s="82"/>
    </row>
    <row r="310">
      <c r="A310" s="69"/>
      <c r="B310" s="105"/>
      <c r="C310" s="71" t="s">
        <v>163</v>
      </c>
      <c r="D310" s="72"/>
      <c r="E310" s="73" t="str">
        <f t="shared" si="37"/>
        <v>⏳</v>
      </c>
      <c r="F310" s="74" t="s">
        <v>183</v>
      </c>
      <c r="G310" s="94"/>
      <c r="H310" s="95"/>
      <c r="I310" s="77" t="s">
        <v>229</v>
      </c>
      <c r="J310" s="78" t="str">
        <f>IF(H324&gt;0, H324, "")</f>
        <v/>
      </c>
      <c r="K310" s="79"/>
      <c r="L310" s="80"/>
      <c r="M310" s="81"/>
      <c r="N310" s="82"/>
    </row>
    <row r="311">
      <c r="A311" s="69"/>
      <c r="B311" s="124"/>
      <c r="C311" s="84" t="s">
        <v>163</v>
      </c>
      <c r="D311" s="85"/>
      <c r="E311" s="86" t="str">
        <f t="shared" si="37"/>
        <v>⏳</v>
      </c>
      <c r="F311" s="87" t="s">
        <v>188</v>
      </c>
      <c r="G311" s="96"/>
      <c r="H311" s="89"/>
      <c r="I311" s="90" t="s">
        <v>166</v>
      </c>
      <c r="J311" s="91"/>
      <c r="K311" s="92"/>
      <c r="L311" s="93"/>
      <c r="M311" s="81"/>
      <c r="N311" s="82"/>
    </row>
    <row r="312">
      <c r="A312" s="69"/>
      <c r="B312" s="105"/>
      <c r="C312" s="71" t="s">
        <v>163</v>
      </c>
      <c r="D312" s="72"/>
      <c r="E312" s="73" t="str">
        <f t="shared" si="37"/>
        <v>⏳</v>
      </c>
      <c r="F312" s="74"/>
      <c r="G312" s="94"/>
      <c r="H312" s="95"/>
      <c r="I312" s="77" t="s">
        <v>195</v>
      </c>
      <c r="J312" s="78"/>
      <c r="K312" s="79"/>
      <c r="L312" s="80"/>
      <c r="M312" s="81"/>
      <c r="N312" s="82"/>
    </row>
    <row r="313">
      <c r="A313" s="69"/>
      <c r="B313" s="124"/>
      <c r="C313" s="84"/>
      <c r="D313" s="85"/>
      <c r="E313" s="86" t="str">
        <f t="shared" si="37"/>
        <v>⏳</v>
      </c>
      <c r="F313" s="87"/>
      <c r="G313" s="96"/>
      <c r="H313" s="89"/>
      <c r="I313" s="90"/>
      <c r="J313" s="91"/>
      <c r="K313" s="79"/>
      <c r="L313" s="80"/>
      <c r="M313" s="81"/>
      <c r="N313" s="82"/>
    </row>
    <row r="314">
      <c r="A314" s="69"/>
      <c r="B314" s="99">
        <f>SUBTOTAL(9, B308:B313)</f>
        <v>0</v>
      </c>
      <c r="C314" s="100"/>
      <c r="D314" s="101"/>
      <c r="E314" s="132">
        <f>SUBTOTAL(9, E308:E313)</f>
        <v>0</v>
      </c>
      <c r="F314" s="74"/>
      <c r="G314" s="94"/>
      <c r="H314" s="95"/>
      <c r="I314" s="103" t="s">
        <v>201</v>
      </c>
      <c r="J314" s="104">
        <f>IF(OR(B314=0, B314=""), 0, IFERROR(SUM(J308, J309, J312) - SUM(J310, J311) + J313, 0))</f>
        <v>0</v>
      </c>
      <c r="K314" s="79"/>
      <c r="L314" s="80"/>
      <c r="M314" s="81"/>
      <c r="N314" s="82"/>
    </row>
    <row r="315">
      <c r="A315" s="69"/>
      <c r="B315" s="105"/>
      <c r="F315" s="87"/>
      <c r="G315" s="96"/>
      <c r="H315" s="89"/>
      <c r="I315" s="106" t="s">
        <v>205</v>
      </c>
      <c r="J315" s="125"/>
      <c r="K315" s="79"/>
      <c r="L315" s="80"/>
      <c r="M315" s="81"/>
      <c r="N315" s="82"/>
    </row>
    <row r="316">
      <c r="A316" s="69"/>
      <c r="F316" s="74"/>
      <c r="G316" s="94"/>
      <c r="H316" s="95"/>
      <c r="I316" s="108" t="s">
        <v>208</v>
      </c>
      <c r="J316" s="109">
        <f>SUM(J314) - SUM(J315)</f>
        <v>0</v>
      </c>
      <c r="K316" s="79"/>
      <c r="L316" s="80"/>
      <c r="M316" s="81"/>
      <c r="N316" s="82"/>
    </row>
    <row r="317">
      <c r="A317" s="69"/>
      <c r="F317" s="87"/>
      <c r="G317" s="96"/>
      <c r="H317" s="89"/>
      <c r="I317" s="77"/>
      <c r="J317" s="78"/>
      <c r="K317" s="79"/>
      <c r="L317" s="80"/>
      <c r="M317" s="81"/>
      <c r="N317" s="82"/>
    </row>
    <row r="318">
      <c r="A318" s="69"/>
      <c r="F318" s="74"/>
      <c r="G318" s="94"/>
      <c r="H318" s="95"/>
      <c r="I318" s="77"/>
      <c r="J318" s="78"/>
      <c r="K318" s="79"/>
      <c r="L318" s="80"/>
      <c r="M318" s="81"/>
      <c r="N318" s="82"/>
    </row>
    <row r="319">
      <c r="A319" s="69"/>
      <c r="F319" s="87"/>
      <c r="G319" s="96"/>
      <c r="H319" s="89"/>
      <c r="I319" s="126"/>
      <c r="J319" s="113"/>
      <c r="K319" s="79"/>
      <c r="L319" s="80"/>
      <c r="M319" s="81"/>
      <c r="N319" s="82"/>
    </row>
    <row r="320">
      <c r="A320" s="69"/>
      <c r="F320" s="74"/>
      <c r="G320" s="94"/>
      <c r="H320" s="95"/>
      <c r="I320" s="129" t="s">
        <v>213</v>
      </c>
      <c r="J320" s="130">
        <f>IF(OR(B314=0, B314=""), 0, IFERROR(E314-H324, 0))</f>
        <v>0</v>
      </c>
      <c r="K320" s="79"/>
      <c r="L320" s="80"/>
      <c r="M320" s="81"/>
      <c r="N320" s="82"/>
    </row>
    <row r="321">
      <c r="A321" s="69"/>
      <c r="F321" s="87"/>
      <c r="G321" s="96"/>
      <c r="H321" s="89"/>
      <c r="I321" s="77"/>
      <c r="J321" s="78"/>
      <c r="K321" s="79"/>
      <c r="L321" s="80"/>
      <c r="M321" s="81"/>
      <c r="N321" s="82"/>
    </row>
    <row r="322">
      <c r="A322" s="69"/>
      <c r="F322" s="74"/>
      <c r="G322" s="94"/>
      <c r="H322" s="95"/>
      <c r="I322" s="77"/>
      <c r="J322" s="78"/>
      <c r="K322" s="79"/>
      <c r="L322" s="80"/>
      <c r="M322" s="81"/>
      <c r="N322" s="82"/>
    </row>
    <row r="323">
      <c r="A323" s="69"/>
      <c r="F323" s="87"/>
      <c r="G323" s="96"/>
      <c r="H323" s="89"/>
      <c r="I323" s="77"/>
      <c r="J323" s="78"/>
      <c r="K323" s="79"/>
      <c r="L323" s="80"/>
      <c r="M323" s="81"/>
      <c r="N323" s="82"/>
    </row>
    <row r="324">
      <c r="A324" s="69"/>
      <c r="F324" s="74"/>
      <c r="G324" s="116" t="s">
        <v>201</v>
      </c>
      <c r="H324" s="117">
        <f>SUBTOTAL(9, H308:H323)</f>
        <v>0</v>
      </c>
      <c r="I324" s="77"/>
      <c r="J324" s="78"/>
      <c r="K324" s="79"/>
      <c r="L324" s="80"/>
      <c r="M324" s="81"/>
      <c r="N324" s="82"/>
    </row>
    <row r="325">
      <c r="A325" s="118" t="s">
        <v>596</v>
      </c>
      <c r="B325" s="119" t="s">
        <v>162</v>
      </c>
      <c r="C325" s="120" t="s">
        <v>163</v>
      </c>
      <c r="D325" s="121" t="s">
        <v>8</v>
      </c>
      <c r="E325" s="121" t="s">
        <v>164</v>
      </c>
      <c r="F325" s="120" t="s">
        <v>165</v>
      </c>
      <c r="G325" s="120" t="s">
        <v>10</v>
      </c>
      <c r="H325" s="121" t="s">
        <v>164</v>
      </c>
      <c r="I325" s="122" t="s">
        <v>10</v>
      </c>
      <c r="J325" s="121" t="s">
        <v>164</v>
      </c>
      <c r="K325" s="120" t="s">
        <v>166</v>
      </c>
      <c r="L325" s="121" t="s">
        <v>164</v>
      </c>
      <c r="M325" s="81"/>
      <c r="N325" s="82"/>
    </row>
    <row r="326">
      <c r="A326" s="69"/>
      <c r="B326" s="105"/>
      <c r="C326" s="71" t="s">
        <v>163</v>
      </c>
      <c r="D326" s="72"/>
      <c r="E326" s="73" t="str">
        <f t="shared" ref="E326:E331" si="39">IF(OR(B326="", D326=""), "⏳", B326*D326)</f>
        <v>⏳</v>
      </c>
      <c r="F326" s="74" t="s">
        <v>169</v>
      </c>
      <c r="G326" s="75" t="str">
        <f>FIXED('Copy of harian'!B332, 0, FALSE) &amp; " x Rp 120"</f>
        <v>0 x Rp 120</v>
      </c>
      <c r="H326" s="95">
        <f t="shared" ref="H326:H327" si="40">IF(OR(G326="", G326="---", NOT(ISNUMBER(SEARCH(" x ", G326)))), 0, VALUE(SUBSTITUTE(LEFT(G326, SEARCH(" x ", G326)-1), ".", "")) * VALUE(MID(G326, SEARCH(" x ", G326)+3, LEN(G326))))</f>
        <v>0</v>
      </c>
      <c r="I326" s="77" t="s">
        <v>172</v>
      </c>
      <c r="J326" s="78"/>
      <c r="K326" s="79"/>
      <c r="L326" s="80"/>
      <c r="M326" s="81"/>
      <c r="N326" s="82"/>
    </row>
    <row r="327">
      <c r="A327" s="69"/>
      <c r="B327" s="124"/>
      <c r="C327" s="84" t="s">
        <v>163</v>
      </c>
      <c r="D327" s="85"/>
      <c r="E327" s="86" t="str">
        <f t="shared" si="39"/>
        <v>⏳</v>
      </c>
      <c r="F327" s="87" t="s">
        <v>176</v>
      </c>
      <c r="G327" s="88" t="str">
        <f>FIXED('Copy of harian'!B332, 0, FALSE) &amp; " x Rp 170"</f>
        <v>0 x Rp 170</v>
      </c>
      <c r="H327" s="89">
        <f t="shared" si="40"/>
        <v>0</v>
      </c>
      <c r="I327" s="90" t="s">
        <v>179</v>
      </c>
      <c r="J327" s="91">
        <f>E332</f>
        <v>0</v>
      </c>
      <c r="K327" s="92"/>
      <c r="L327" s="93"/>
      <c r="M327" s="81"/>
      <c r="N327" s="82"/>
    </row>
    <row r="328">
      <c r="A328" s="69"/>
      <c r="B328" s="105"/>
      <c r="C328" s="71" t="s">
        <v>163</v>
      </c>
      <c r="D328" s="72"/>
      <c r="E328" s="73" t="str">
        <f t="shared" si="39"/>
        <v>⏳</v>
      </c>
      <c r="F328" s="74" t="s">
        <v>183</v>
      </c>
      <c r="G328" s="94"/>
      <c r="H328" s="95"/>
      <c r="I328" s="77" t="s">
        <v>184</v>
      </c>
      <c r="J328" s="78" t="str">
        <f>IF(H342&gt;0, H342, "")</f>
        <v/>
      </c>
      <c r="K328" s="79"/>
      <c r="L328" s="80"/>
      <c r="M328" s="81"/>
      <c r="N328" s="82"/>
    </row>
    <row r="329">
      <c r="A329" s="69"/>
      <c r="B329" s="124"/>
      <c r="C329" s="84" t="s">
        <v>163</v>
      </c>
      <c r="D329" s="85"/>
      <c r="E329" s="86" t="str">
        <f t="shared" si="39"/>
        <v>⏳</v>
      </c>
      <c r="F329" s="87" t="s">
        <v>188</v>
      </c>
      <c r="G329" s="96"/>
      <c r="H329" s="89"/>
      <c r="I329" s="90" t="s">
        <v>166</v>
      </c>
      <c r="J329" s="91"/>
      <c r="K329" s="92"/>
      <c r="L329" s="93"/>
      <c r="M329" s="81"/>
      <c r="N329" s="82"/>
    </row>
    <row r="330">
      <c r="A330" s="69"/>
      <c r="B330" s="105"/>
      <c r="C330" s="71" t="s">
        <v>163</v>
      </c>
      <c r="D330" s="72"/>
      <c r="E330" s="73" t="str">
        <f t="shared" si="39"/>
        <v>⏳</v>
      </c>
      <c r="F330" s="74"/>
      <c r="G330" s="94"/>
      <c r="H330" s="95"/>
      <c r="I330" s="77" t="s">
        <v>195</v>
      </c>
      <c r="J330" s="78"/>
      <c r="K330" s="79"/>
      <c r="L330" s="80"/>
      <c r="M330" s="81"/>
      <c r="N330" s="82"/>
    </row>
    <row r="331">
      <c r="A331" s="69"/>
      <c r="B331" s="124"/>
      <c r="C331" s="84"/>
      <c r="D331" s="85"/>
      <c r="E331" s="86" t="str">
        <f t="shared" si="39"/>
        <v>⏳</v>
      </c>
      <c r="F331" s="87"/>
      <c r="G331" s="96"/>
      <c r="H331" s="89"/>
      <c r="I331" s="90"/>
      <c r="J331" s="91"/>
      <c r="K331" s="79"/>
      <c r="L331" s="80"/>
      <c r="M331" s="81"/>
      <c r="N331" s="82"/>
    </row>
    <row r="332">
      <c r="A332" s="69"/>
      <c r="B332" s="99">
        <f>SUBTOTAL(9, B326:B331)</f>
        <v>0</v>
      </c>
      <c r="C332" s="100"/>
      <c r="D332" s="101"/>
      <c r="E332" s="132">
        <f>SUBTOTAL(9, E326:E331)</f>
        <v>0</v>
      </c>
      <c r="F332" s="74"/>
      <c r="G332" s="94"/>
      <c r="H332" s="95"/>
      <c r="I332" s="103" t="s">
        <v>201</v>
      </c>
      <c r="J332" s="104">
        <f>IF(OR(B332=0, B332=""), 0, IFERROR(SUM(J326, J327, J330) - SUM(J328, J329) + J331, 0))</f>
        <v>0</v>
      </c>
      <c r="K332" s="79"/>
      <c r="L332" s="80"/>
      <c r="M332" s="81"/>
      <c r="N332" s="82"/>
    </row>
    <row r="333">
      <c r="A333" s="69"/>
      <c r="B333" s="105"/>
      <c r="F333" s="87"/>
      <c r="G333" s="96"/>
      <c r="H333" s="89"/>
      <c r="I333" s="106" t="s">
        <v>205</v>
      </c>
      <c r="J333" s="125"/>
      <c r="K333" s="79"/>
      <c r="L333" s="80"/>
      <c r="M333" s="81"/>
      <c r="N333" s="82"/>
    </row>
    <row r="334">
      <c r="A334" s="69"/>
      <c r="F334" s="74"/>
      <c r="G334" s="94"/>
      <c r="H334" s="95"/>
      <c r="I334" s="108" t="s">
        <v>208</v>
      </c>
      <c r="J334" s="109">
        <f>SUM(J332) - SUM(J333)</f>
        <v>0</v>
      </c>
      <c r="K334" s="79"/>
      <c r="L334" s="80"/>
      <c r="M334" s="81"/>
      <c r="N334" s="82"/>
    </row>
    <row r="335">
      <c r="A335" s="69"/>
      <c r="F335" s="87"/>
      <c r="G335" s="96"/>
      <c r="H335" s="89"/>
      <c r="I335" s="77"/>
      <c r="J335" s="78"/>
      <c r="K335" s="79"/>
      <c r="L335" s="80"/>
      <c r="M335" s="81"/>
      <c r="N335" s="82"/>
    </row>
    <row r="336">
      <c r="A336" s="69"/>
      <c r="F336" s="74"/>
      <c r="G336" s="94"/>
      <c r="H336" s="95"/>
      <c r="I336" s="77"/>
      <c r="J336" s="78"/>
      <c r="K336" s="79"/>
      <c r="L336" s="80"/>
      <c r="M336" s="81"/>
      <c r="N336" s="82"/>
    </row>
    <row r="337">
      <c r="A337" s="69"/>
      <c r="F337" s="87"/>
      <c r="G337" s="96"/>
      <c r="H337" s="89"/>
      <c r="I337" s="126"/>
      <c r="J337" s="113"/>
      <c r="K337" s="79"/>
      <c r="L337" s="80"/>
      <c r="M337" s="81"/>
      <c r="N337" s="82"/>
    </row>
    <row r="338">
      <c r="A338" s="69"/>
      <c r="F338" s="74"/>
      <c r="G338" s="94"/>
      <c r="H338" s="95"/>
      <c r="I338" s="129" t="s">
        <v>213</v>
      </c>
      <c r="J338" s="130">
        <f>IF(OR(B332=0, B332=""), 0, IFERROR(E332-H342, 0))</f>
        <v>0</v>
      </c>
      <c r="K338" s="79"/>
      <c r="L338" s="80"/>
      <c r="M338" s="81"/>
      <c r="N338" s="82"/>
    </row>
    <row r="339">
      <c r="A339" s="69"/>
      <c r="F339" s="87"/>
      <c r="G339" s="96"/>
      <c r="H339" s="89"/>
      <c r="I339" s="77"/>
      <c r="J339" s="78"/>
      <c r="K339" s="79"/>
      <c r="L339" s="80"/>
      <c r="M339" s="81"/>
      <c r="N339" s="82"/>
    </row>
    <row r="340">
      <c r="A340" s="69"/>
      <c r="F340" s="74"/>
      <c r="G340" s="94"/>
      <c r="H340" s="95"/>
      <c r="I340" s="77"/>
      <c r="J340" s="78"/>
      <c r="K340" s="79"/>
      <c r="L340" s="80"/>
      <c r="M340" s="81"/>
      <c r="N340" s="82"/>
    </row>
    <row r="341">
      <c r="A341" s="69"/>
      <c r="F341" s="87"/>
      <c r="G341" s="96"/>
      <c r="H341" s="89"/>
      <c r="I341" s="77"/>
      <c r="J341" s="78"/>
      <c r="K341" s="79"/>
      <c r="L341" s="80"/>
      <c r="M341" s="81"/>
      <c r="N341" s="82"/>
    </row>
    <row r="342">
      <c r="A342" s="69"/>
      <c r="F342" s="74"/>
      <c r="G342" s="116" t="s">
        <v>201</v>
      </c>
      <c r="H342" s="117">
        <f>SUBTOTAL(9, H326:H341)</f>
        <v>0</v>
      </c>
      <c r="I342" s="77"/>
      <c r="J342" s="78"/>
      <c r="K342" s="79"/>
      <c r="L342" s="80"/>
      <c r="M342" s="81"/>
      <c r="N342" s="82"/>
    </row>
    <row r="343">
      <c r="A343" s="118" t="s">
        <v>596</v>
      </c>
      <c r="B343" s="119" t="s">
        <v>215</v>
      </c>
      <c r="C343" s="120" t="s">
        <v>163</v>
      </c>
      <c r="D343" s="121" t="s">
        <v>8</v>
      </c>
      <c r="E343" s="121" t="s">
        <v>164</v>
      </c>
      <c r="F343" s="120" t="s">
        <v>216</v>
      </c>
      <c r="G343" s="120" t="s">
        <v>10</v>
      </c>
      <c r="H343" s="121" t="s">
        <v>164</v>
      </c>
      <c r="I343" s="122" t="s">
        <v>10</v>
      </c>
      <c r="J343" s="121" t="s">
        <v>164</v>
      </c>
      <c r="K343" s="120" t="s">
        <v>166</v>
      </c>
      <c r="L343" s="121" t="s">
        <v>164</v>
      </c>
      <c r="M343" s="81"/>
      <c r="N343" s="82"/>
    </row>
    <row r="344">
      <c r="A344" s="69"/>
      <c r="B344" s="105"/>
      <c r="C344" s="71" t="s">
        <v>163</v>
      </c>
      <c r="D344" s="72"/>
      <c r="E344" s="73" t="str">
        <f t="shared" ref="E344:E349" si="41">IF(OR(B344="", D344=""), "⏳", B344*D344)</f>
        <v>⏳</v>
      </c>
      <c r="F344" s="74" t="s">
        <v>169</v>
      </c>
      <c r="G344" s="75" t="str">
        <f>FIXED('Copy of harian'!B350, 0, FALSE) &amp; " x Rp 120"</f>
        <v>0 x Rp 120</v>
      </c>
      <c r="H344" s="95">
        <f t="shared" ref="H344:H345" si="42">IF(OR(G344="", G344="---", NOT(ISNUMBER(SEARCH(" x ", G344)))), 0, VALUE(SUBSTITUTE(LEFT(G344, SEARCH(" x ", G344)-1), ".", "")) * VALUE(MID(G344, SEARCH(" x ", G344)+3, LEN(G344))))</f>
        <v>0</v>
      </c>
      <c r="I344" s="77" t="s">
        <v>172</v>
      </c>
      <c r="J344" s="78"/>
      <c r="K344" s="79"/>
      <c r="L344" s="80"/>
      <c r="M344" s="81"/>
      <c r="N344" s="82"/>
    </row>
    <row r="345">
      <c r="A345" s="69"/>
      <c r="B345" s="124"/>
      <c r="C345" s="84" t="s">
        <v>163</v>
      </c>
      <c r="D345" s="85"/>
      <c r="E345" s="86" t="str">
        <f t="shared" si="41"/>
        <v>⏳</v>
      </c>
      <c r="F345" s="87" t="s">
        <v>176</v>
      </c>
      <c r="G345" s="88" t="str">
        <f>FIXED('Copy of harian'!B350, 0, FALSE) &amp; " x Rp 170"</f>
        <v>0 x Rp 170</v>
      </c>
      <c r="H345" s="89">
        <f t="shared" si="42"/>
        <v>0</v>
      </c>
      <c r="I345" s="90" t="s">
        <v>225</v>
      </c>
      <c r="J345" s="91">
        <f>E350</f>
        <v>0</v>
      </c>
      <c r="K345" s="92"/>
      <c r="L345" s="93"/>
      <c r="M345" s="81"/>
      <c r="N345" s="82"/>
    </row>
    <row r="346">
      <c r="A346" s="69"/>
      <c r="B346" s="105"/>
      <c r="C346" s="71" t="s">
        <v>163</v>
      </c>
      <c r="D346" s="72"/>
      <c r="E346" s="73" t="str">
        <f t="shared" si="41"/>
        <v>⏳</v>
      </c>
      <c r="F346" s="74" t="s">
        <v>183</v>
      </c>
      <c r="G346" s="94"/>
      <c r="H346" s="95"/>
      <c r="I346" s="77" t="s">
        <v>229</v>
      </c>
      <c r="J346" s="78" t="str">
        <f>IF(H360&gt;0, H360, "")</f>
        <v/>
      </c>
      <c r="K346" s="79"/>
      <c r="L346" s="80"/>
      <c r="M346" s="81"/>
      <c r="N346" s="82"/>
    </row>
    <row r="347">
      <c r="A347" s="69"/>
      <c r="B347" s="124"/>
      <c r="C347" s="84" t="s">
        <v>163</v>
      </c>
      <c r="D347" s="85"/>
      <c r="E347" s="86" t="str">
        <f t="shared" si="41"/>
        <v>⏳</v>
      </c>
      <c r="F347" s="87" t="s">
        <v>188</v>
      </c>
      <c r="G347" s="96"/>
      <c r="H347" s="89"/>
      <c r="I347" s="90" t="s">
        <v>166</v>
      </c>
      <c r="J347" s="91"/>
      <c r="K347" s="92"/>
      <c r="L347" s="93"/>
      <c r="M347" s="81"/>
      <c r="N347" s="82"/>
    </row>
    <row r="348">
      <c r="A348" s="69"/>
      <c r="B348" s="105"/>
      <c r="C348" s="71" t="s">
        <v>163</v>
      </c>
      <c r="D348" s="72"/>
      <c r="E348" s="73" t="str">
        <f t="shared" si="41"/>
        <v>⏳</v>
      </c>
      <c r="F348" s="74"/>
      <c r="G348" s="94"/>
      <c r="H348" s="95"/>
      <c r="I348" s="77" t="s">
        <v>195</v>
      </c>
      <c r="J348" s="78"/>
      <c r="K348" s="79"/>
      <c r="L348" s="80"/>
      <c r="M348" s="81"/>
      <c r="N348" s="82"/>
    </row>
    <row r="349">
      <c r="A349" s="69"/>
      <c r="B349" s="124"/>
      <c r="C349" s="84"/>
      <c r="D349" s="85"/>
      <c r="E349" s="86" t="str">
        <f t="shared" si="41"/>
        <v>⏳</v>
      </c>
      <c r="F349" s="87"/>
      <c r="G349" s="96"/>
      <c r="H349" s="89"/>
      <c r="I349" s="90"/>
      <c r="J349" s="91"/>
      <c r="K349" s="79"/>
      <c r="L349" s="80"/>
      <c r="M349" s="81"/>
      <c r="N349" s="82"/>
    </row>
    <row r="350">
      <c r="A350" s="69"/>
      <c r="B350" s="99">
        <f>SUBTOTAL(9, B344:B349)</f>
        <v>0</v>
      </c>
      <c r="C350" s="100"/>
      <c r="D350" s="101"/>
      <c r="E350" s="132">
        <f>SUBTOTAL(9, E344:E349)</f>
        <v>0</v>
      </c>
      <c r="F350" s="74"/>
      <c r="G350" s="94"/>
      <c r="H350" s="95"/>
      <c r="I350" s="103" t="s">
        <v>201</v>
      </c>
      <c r="J350" s="104">
        <f>IF(OR(B350=0, B350=""), 0, IFERROR(SUM(J344, J345, J348) - SUM(J346, J347) + J349, 0))</f>
        <v>0</v>
      </c>
      <c r="K350" s="79"/>
      <c r="L350" s="80"/>
      <c r="M350" s="81"/>
      <c r="N350" s="82"/>
    </row>
    <row r="351">
      <c r="A351" s="69"/>
      <c r="B351" s="105"/>
      <c r="F351" s="87"/>
      <c r="G351" s="96"/>
      <c r="H351" s="89"/>
      <c r="I351" s="106" t="s">
        <v>205</v>
      </c>
      <c r="J351" s="125"/>
      <c r="K351" s="79"/>
      <c r="L351" s="80"/>
      <c r="M351" s="81"/>
      <c r="N351" s="82"/>
    </row>
    <row r="352">
      <c r="A352" s="69"/>
      <c r="F352" s="74"/>
      <c r="G352" s="94"/>
      <c r="H352" s="95"/>
      <c r="I352" s="108" t="s">
        <v>208</v>
      </c>
      <c r="J352" s="109">
        <f>SUM(J350) - SUM(J351)</f>
        <v>0</v>
      </c>
      <c r="K352" s="79"/>
      <c r="L352" s="80"/>
      <c r="M352" s="81"/>
      <c r="N352" s="82"/>
    </row>
    <row r="353">
      <c r="A353" s="69"/>
      <c r="F353" s="87"/>
      <c r="G353" s="96"/>
      <c r="H353" s="89"/>
      <c r="I353" s="77"/>
      <c r="J353" s="78"/>
      <c r="K353" s="79"/>
      <c r="L353" s="80"/>
      <c r="M353" s="81"/>
      <c r="N353" s="82"/>
    </row>
    <row r="354">
      <c r="A354" s="69"/>
      <c r="F354" s="74"/>
      <c r="G354" s="94"/>
      <c r="H354" s="95"/>
      <c r="I354" s="77"/>
      <c r="J354" s="78"/>
      <c r="K354" s="79"/>
      <c r="L354" s="80"/>
      <c r="M354" s="81"/>
      <c r="N354" s="82"/>
    </row>
    <row r="355">
      <c r="A355" s="69"/>
      <c r="F355" s="87"/>
      <c r="G355" s="96"/>
      <c r="H355" s="89"/>
      <c r="I355" s="126"/>
      <c r="J355" s="113"/>
      <c r="K355" s="79"/>
      <c r="L355" s="80"/>
      <c r="M355" s="81"/>
      <c r="N355" s="82"/>
    </row>
    <row r="356">
      <c r="A356" s="69"/>
      <c r="F356" s="74"/>
      <c r="G356" s="94"/>
      <c r="H356" s="95"/>
      <c r="I356" s="129" t="s">
        <v>213</v>
      </c>
      <c r="J356" s="130">
        <f>IF(OR(B350=0, B350=""), 0, IFERROR(E350-H360, 0))</f>
        <v>0</v>
      </c>
      <c r="K356" s="79"/>
      <c r="L356" s="80"/>
      <c r="M356" s="81"/>
      <c r="N356" s="82"/>
    </row>
    <row r="357">
      <c r="A357" s="69"/>
      <c r="F357" s="87"/>
      <c r="G357" s="96"/>
      <c r="H357" s="89"/>
      <c r="I357" s="77"/>
      <c r="J357" s="78"/>
      <c r="K357" s="79"/>
      <c r="L357" s="80"/>
      <c r="M357" s="81"/>
      <c r="N357" s="82"/>
    </row>
    <row r="358">
      <c r="A358" s="69"/>
      <c r="F358" s="74"/>
      <c r="G358" s="94"/>
      <c r="H358" s="95"/>
      <c r="I358" s="77"/>
      <c r="J358" s="78"/>
      <c r="K358" s="79"/>
      <c r="L358" s="80"/>
      <c r="M358" s="81"/>
      <c r="N358" s="82"/>
    </row>
    <row r="359">
      <c r="A359" s="69"/>
      <c r="F359" s="87"/>
      <c r="G359" s="96"/>
      <c r="H359" s="89"/>
      <c r="I359" s="77"/>
      <c r="J359" s="78"/>
      <c r="K359" s="79"/>
      <c r="L359" s="80"/>
      <c r="M359" s="81"/>
      <c r="N359" s="82"/>
    </row>
    <row r="360">
      <c r="A360" s="69"/>
      <c r="F360" s="74"/>
      <c r="G360" s="116" t="s">
        <v>201</v>
      </c>
      <c r="H360" s="117">
        <f>SUBTOTAL(9, H344:H359)</f>
        <v>0</v>
      </c>
      <c r="I360" s="77"/>
      <c r="J360" s="78"/>
      <c r="K360" s="79"/>
      <c r="L360" s="80"/>
      <c r="M360" s="81"/>
      <c r="N360" s="82"/>
    </row>
    <row r="361">
      <c r="A361" s="118" t="s">
        <v>597</v>
      </c>
      <c r="B361" s="119" t="s">
        <v>162</v>
      </c>
      <c r="C361" s="120" t="s">
        <v>163</v>
      </c>
      <c r="D361" s="121" t="s">
        <v>8</v>
      </c>
      <c r="E361" s="121" t="s">
        <v>164</v>
      </c>
      <c r="F361" s="120" t="s">
        <v>165</v>
      </c>
      <c r="G361" s="120" t="s">
        <v>10</v>
      </c>
      <c r="H361" s="121" t="s">
        <v>164</v>
      </c>
      <c r="I361" s="122" t="s">
        <v>10</v>
      </c>
      <c r="J361" s="121" t="s">
        <v>164</v>
      </c>
      <c r="K361" s="120" t="s">
        <v>166</v>
      </c>
      <c r="L361" s="121" t="s">
        <v>164</v>
      </c>
      <c r="M361" s="81"/>
      <c r="N361" s="82"/>
    </row>
    <row r="362">
      <c r="A362" s="69"/>
      <c r="B362" s="105"/>
      <c r="C362" s="71" t="s">
        <v>163</v>
      </c>
      <c r="D362" s="72"/>
      <c r="E362" s="73" t="str">
        <f t="shared" ref="E362:E367" si="43">IF(OR(B362="", D362=""), "⏳", B362*D362)</f>
        <v>⏳</v>
      </c>
      <c r="F362" s="74" t="s">
        <v>169</v>
      </c>
      <c r="G362" s="75" t="str">
        <f>FIXED('Copy of harian'!B368, 0, FALSE) &amp; " x Rp 120"</f>
        <v>0 x Rp 120</v>
      </c>
      <c r="H362" s="95">
        <f t="shared" ref="H362:H363" si="44">IF(OR(G362="", G362="---", NOT(ISNUMBER(SEARCH(" x ", G362)))), 0, VALUE(SUBSTITUTE(LEFT(G362, SEARCH(" x ", G362)-1), ".", "")) * VALUE(MID(G362, SEARCH(" x ", G362)+3, LEN(G362))))</f>
        <v>0</v>
      </c>
      <c r="I362" s="77" t="s">
        <v>172</v>
      </c>
      <c r="J362" s="78"/>
      <c r="K362" s="79"/>
      <c r="L362" s="80"/>
      <c r="M362" s="81"/>
      <c r="N362" s="82"/>
    </row>
    <row r="363">
      <c r="A363" s="69"/>
      <c r="B363" s="124"/>
      <c r="C363" s="84" t="s">
        <v>163</v>
      </c>
      <c r="D363" s="85"/>
      <c r="E363" s="86" t="str">
        <f t="shared" si="43"/>
        <v>⏳</v>
      </c>
      <c r="F363" s="87" t="s">
        <v>176</v>
      </c>
      <c r="G363" s="88" t="str">
        <f>FIXED('Copy of harian'!B368, 0, FALSE) &amp; " x Rp 170"</f>
        <v>0 x Rp 170</v>
      </c>
      <c r="H363" s="89">
        <f t="shared" si="44"/>
        <v>0</v>
      </c>
      <c r="I363" s="90" t="s">
        <v>179</v>
      </c>
      <c r="J363" s="91">
        <f>E368</f>
        <v>0</v>
      </c>
      <c r="K363" s="92"/>
      <c r="L363" s="93"/>
      <c r="M363" s="81"/>
      <c r="N363" s="82"/>
    </row>
    <row r="364">
      <c r="A364" s="69"/>
      <c r="B364" s="105"/>
      <c r="C364" s="71" t="s">
        <v>163</v>
      </c>
      <c r="D364" s="72"/>
      <c r="E364" s="73" t="str">
        <f t="shared" si="43"/>
        <v>⏳</v>
      </c>
      <c r="F364" s="74" t="s">
        <v>183</v>
      </c>
      <c r="G364" s="94"/>
      <c r="H364" s="95"/>
      <c r="I364" s="77" t="s">
        <v>184</v>
      </c>
      <c r="J364" s="78" t="str">
        <f>IF(H378&gt;0, H378, "")</f>
        <v/>
      </c>
      <c r="K364" s="79"/>
      <c r="L364" s="80"/>
      <c r="M364" s="81"/>
      <c r="N364" s="82"/>
    </row>
    <row r="365">
      <c r="A365" s="69"/>
      <c r="B365" s="124"/>
      <c r="C365" s="84" t="s">
        <v>163</v>
      </c>
      <c r="D365" s="85"/>
      <c r="E365" s="86" t="str">
        <f t="shared" si="43"/>
        <v>⏳</v>
      </c>
      <c r="F365" s="87" t="s">
        <v>188</v>
      </c>
      <c r="G365" s="96"/>
      <c r="H365" s="89"/>
      <c r="I365" s="90" t="s">
        <v>166</v>
      </c>
      <c r="J365" s="91"/>
      <c r="K365" s="92"/>
      <c r="L365" s="93"/>
      <c r="M365" s="81"/>
      <c r="N365" s="82"/>
    </row>
    <row r="366">
      <c r="A366" s="69"/>
      <c r="B366" s="105"/>
      <c r="C366" s="71" t="s">
        <v>163</v>
      </c>
      <c r="D366" s="72"/>
      <c r="E366" s="73" t="str">
        <f t="shared" si="43"/>
        <v>⏳</v>
      </c>
      <c r="F366" s="74"/>
      <c r="G366" s="94"/>
      <c r="H366" s="95"/>
      <c r="I366" s="77" t="s">
        <v>195</v>
      </c>
      <c r="J366" s="78"/>
      <c r="K366" s="79"/>
      <c r="L366" s="80"/>
      <c r="M366" s="81"/>
      <c r="N366" s="82"/>
    </row>
    <row r="367">
      <c r="A367" s="69"/>
      <c r="B367" s="124"/>
      <c r="C367" s="84"/>
      <c r="D367" s="85"/>
      <c r="E367" s="86" t="str">
        <f t="shared" si="43"/>
        <v>⏳</v>
      </c>
      <c r="F367" s="87"/>
      <c r="G367" s="96"/>
      <c r="H367" s="89"/>
      <c r="I367" s="90"/>
      <c r="J367" s="91"/>
      <c r="K367" s="79"/>
      <c r="L367" s="80"/>
      <c r="M367" s="81"/>
      <c r="N367" s="82"/>
    </row>
    <row r="368">
      <c r="A368" s="69"/>
      <c r="B368" s="99">
        <f>SUBTOTAL(9, B362:B367)</f>
        <v>0</v>
      </c>
      <c r="C368" s="100"/>
      <c r="D368" s="101"/>
      <c r="E368" s="132">
        <f>SUBTOTAL(9, E362:E367)</f>
        <v>0</v>
      </c>
      <c r="F368" s="74"/>
      <c r="G368" s="94"/>
      <c r="H368" s="95"/>
      <c r="I368" s="103" t="s">
        <v>201</v>
      </c>
      <c r="J368" s="104">
        <f>IF(OR(B368=0, B368=""), 0, IFERROR(SUM(J362, J363, J366) - SUM(J364, J365) + J367, 0))</f>
        <v>0</v>
      </c>
      <c r="K368" s="79"/>
      <c r="L368" s="80"/>
      <c r="M368" s="81"/>
      <c r="N368" s="82"/>
    </row>
    <row r="369">
      <c r="A369" s="69"/>
      <c r="B369" s="105"/>
      <c r="F369" s="87"/>
      <c r="G369" s="96"/>
      <c r="H369" s="89"/>
      <c r="I369" s="106" t="s">
        <v>205</v>
      </c>
      <c r="J369" s="125"/>
      <c r="K369" s="79"/>
      <c r="L369" s="80"/>
      <c r="M369" s="81"/>
      <c r="N369" s="82"/>
    </row>
    <row r="370">
      <c r="A370" s="69"/>
      <c r="F370" s="74"/>
      <c r="G370" s="94"/>
      <c r="H370" s="95"/>
      <c r="I370" s="108" t="s">
        <v>208</v>
      </c>
      <c r="J370" s="109">
        <f>SUM(J368) - SUM(J369)</f>
        <v>0</v>
      </c>
      <c r="K370" s="79"/>
      <c r="L370" s="80"/>
      <c r="M370" s="81"/>
      <c r="N370" s="82"/>
    </row>
    <row r="371">
      <c r="A371" s="69"/>
      <c r="F371" s="87"/>
      <c r="G371" s="96"/>
      <c r="H371" s="89"/>
      <c r="I371" s="77"/>
      <c r="J371" s="78"/>
      <c r="K371" s="79"/>
      <c r="L371" s="80"/>
      <c r="M371" s="81"/>
      <c r="N371" s="82"/>
    </row>
    <row r="372">
      <c r="A372" s="69"/>
      <c r="F372" s="74"/>
      <c r="G372" s="94"/>
      <c r="H372" s="95"/>
      <c r="I372" s="77"/>
      <c r="J372" s="78"/>
      <c r="K372" s="79"/>
      <c r="L372" s="80"/>
      <c r="M372" s="81"/>
      <c r="N372" s="82"/>
    </row>
    <row r="373">
      <c r="A373" s="69"/>
      <c r="F373" s="87"/>
      <c r="G373" s="96"/>
      <c r="H373" s="89"/>
      <c r="I373" s="126"/>
      <c r="J373" s="113"/>
      <c r="K373" s="79"/>
      <c r="L373" s="80"/>
      <c r="M373" s="81"/>
      <c r="N373" s="82"/>
    </row>
    <row r="374">
      <c r="A374" s="69"/>
      <c r="F374" s="74"/>
      <c r="G374" s="94"/>
      <c r="H374" s="95"/>
      <c r="I374" s="129" t="s">
        <v>213</v>
      </c>
      <c r="J374" s="130">
        <f>IF(OR(B368=0, B368=""), 0, IFERROR(E368-H378, 0))</f>
        <v>0</v>
      </c>
      <c r="K374" s="79"/>
      <c r="L374" s="80"/>
      <c r="M374" s="81"/>
      <c r="N374" s="82"/>
    </row>
    <row r="375">
      <c r="A375" s="69"/>
      <c r="F375" s="87"/>
      <c r="G375" s="96"/>
      <c r="H375" s="89"/>
      <c r="I375" s="77"/>
      <c r="J375" s="78"/>
      <c r="K375" s="79"/>
      <c r="L375" s="80"/>
      <c r="M375" s="81"/>
      <c r="N375" s="82"/>
    </row>
    <row r="376">
      <c r="A376" s="69"/>
      <c r="F376" s="74"/>
      <c r="G376" s="94"/>
      <c r="H376" s="95"/>
      <c r="I376" s="77"/>
      <c r="J376" s="78"/>
      <c r="K376" s="79"/>
      <c r="L376" s="80"/>
      <c r="M376" s="81"/>
      <c r="N376" s="82"/>
    </row>
    <row r="377">
      <c r="A377" s="69"/>
      <c r="F377" s="87"/>
      <c r="G377" s="96"/>
      <c r="H377" s="89"/>
      <c r="I377" s="77"/>
      <c r="J377" s="78"/>
      <c r="K377" s="79"/>
      <c r="L377" s="80"/>
      <c r="M377" s="81"/>
      <c r="N377" s="82"/>
    </row>
    <row r="378">
      <c r="A378" s="69"/>
      <c r="F378" s="74"/>
      <c r="G378" s="116" t="s">
        <v>201</v>
      </c>
      <c r="H378" s="117">
        <f>SUBTOTAL(9, H362:H377)</f>
        <v>0</v>
      </c>
      <c r="I378" s="77"/>
      <c r="J378" s="78"/>
      <c r="K378" s="79"/>
      <c r="L378" s="80"/>
      <c r="M378" s="81"/>
      <c r="N378" s="82"/>
    </row>
    <row r="379">
      <c r="A379" s="118" t="s">
        <v>597</v>
      </c>
      <c r="B379" s="119" t="s">
        <v>215</v>
      </c>
      <c r="C379" s="120" t="s">
        <v>163</v>
      </c>
      <c r="D379" s="121" t="s">
        <v>8</v>
      </c>
      <c r="E379" s="121" t="s">
        <v>164</v>
      </c>
      <c r="F379" s="120" t="s">
        <v>216</v>
      </c>
      <c r="G379" s="120" t="s">
        <v>10</v>
      </c>
      <c r="H379" s="121" t="s">
        <v>164</v>
      </c>
      <c r="I379" s="122" t="s">
        <v>10</v>
      </c>
      <c r="J379" s="121" t="s">
        <v>164</v>
      </c>
      <c r="K379" s="120" t="s">
        <v>166</v>
      </c>
      <c r="L379" s="121" t="s">
        <v>164</v>
      </c>
      <c r="M379" s="81"/>
      <c r="N379" s="82"/>
    </row>
    <row r="380">
      <c r="A380" s="69"/>
      <c r="B380" s="105"/>
      <c r="C380" s="71" t="s">
        <v>163</v>
      </c>
      <c r="D380" s="72"/>
      <c r="E380" s="73" t="str">
        <f t="shared" ref="E380:E385" si="45">IF(OR(B380="", D380=""), "⏳", B380*D380)</f>
        <v>⏳</v>
      </c>
      <c r="F380" s="74" t="s">
        <v>169</v>
      </c>
      <c r="G380" s="75" t="str">
        <f>FIXED('Copy of harian'!B386, 0, FALSE) &amp; " x Rp 120"</f>
        <v>0 x Rp 120</v>
      </c>
      <c r="H380" s="95">
        <f t="shared" ref="H380:H381" si="46">IF(OR(G380="", G380="---", NOT(ISNUMBER(SEARCH(" x ", G380)))), 0, VALUE(SUBSTITUTE(LEFT(G380, SEARCH(" x ", G380)-1), ".", "")) * VALUE(MID(G380, SEARCH(" x ", G380)+3, LEN(G380))))</f>
        <v>0</v>
      </c>
      <c r="I380" s="77" t="s">
        <v>172</v>
      </c>
      <c r="J380" s="78"/>
      <c r="K380" s="79"/>
      <c r="L380" s="80"/>
      <c r="M380" s="81"/>
      <c r="N380" s="82"/>
    </row>
    <row r="381">
      <c r="A381" s="69"/>
      <c r="B381" s="124"/>
      <c r="C381" s="84" t="s">
        <v>163</v>
      </c>
      <c r="D381" s="85"/>
      <c r="E381" s="86" t="str">
        <f t="shared" si="45"/>
        <v>⏳</v>
      </c>
      <c r="F381" s="87" t="s">
        <v>176</v>
      </c>
      <c r="G381" s="88" t="str">
        <f>FIXED('Copy of harian'!B386, 0, FALSE) &amp; " x Rp 170"</f>
        <v>0 x Rp 170</v>
      </c>
      <c r="H381" s="89">
        <f t="shared" si="46"/>
        <v>0</v>
      </c>
      <c r="I381" s="90" t="s">
        <v>225</v>
      </c>
      <c r="J381" s="91">
        <f>E386</f>
        <v>0</v>
      </c>
      <c r="K381" s="92"/>
      <c r="L381" s="93"/>
      <c r="M381" s="81"/>
      <c r="N381" s="82"/>
    </row>
    <row r="382">
      <c r="A382" s="69"/>
      <c r="B382" s="105"/>
      <c r="C382" s="71" t="s">
        <v>163</v>
      </c>
      <c r="D382" s="72"/>
      <c r="E382" s="73" t="str">
        <f t="shared" si="45"/>
        <v>⏳</v>
      </c>
      <c r="F382" s="74" t="s">
        <v>183</v>
      </c>
      <c r="G382" s="94"/>
      <c r="H382" s="95"/>
      <c r="I382" s="77" t="s">
        <v>229</v>
      </c>
      <c r="J382" s="78" t="str">
        <f>IF(H396&gt;0, H396, "")</f>
        <v/>
      </c>
      <c r="K382" s="79"/>
      <c r="L382" s="80"/>
      <c r="M382" s="81"/>
      <c r="N382" s="82"/>
    </row>
    <row r="383">
      <c r="A383" s="69"/>
      <c r="B383" s="124"/>
      <c r="C383" s="84" t="s">
        <v>163</v>
      </c>
      <c r="D383" s="85"/>
      <c r="E383" s="86" t="str">
        <f t="shared" si="45"/>
        <v>⏳</v>
      </c>
      <c r="F383" s="87" t="s">
        <v>188</v>
      </c>
      <c r="G383" s="96"/>
      <c r="H383" s="89"/>
      <c r="I383" s="90" t="s">
        <v>166</v>
      </c>
      <c r="J383" s="91"/>
      <c r="K383" s="92"/>
      <c r="L383" s="93"/>
      <c r="M383" s="81"/>
      <c r="N383" s="82"/>
    </row>
    <row r="384">
      <c r="A384" s="69"/>
      <c r="B384" s="105"/>
      <c r="C384" s="71" t="s">
        <v>163</v>
      </c>
      <c r="D384" s="72"/>
      <c r="E384" s="73" t="str">
        <f t="shared" si="45"/>
        <v>⏳</v>
      </c>
      <c r="F384" s="74"/>
      <c r="G384" s="94"/>
      <c r="H384" s="95"/>
      <c r="I384" s="77" t="s">
        <v>195</v>
      </c>
      <c r="J384" s="78"/>
      <c r="K384" s="79"/>
      <c r="L384" s="80"/>
      <c r="M384" s="81"/>
      <c r="N384" s="82"/>
    </row>
    <row r="385">
      <c r="A385" s="69"/>
      <c r="B385" s="124"/>
      <c r="C385" s="84"/>
      <c r="D385" s="85"/>
      <c r="E385" s="86" t="str">
        <f t="shared" si="45"/>
        <v>⏳</v>
      </c>
      <c r="F385" s="87"/>
      <c r="G385" s="96"/>
      <c r="H385" s="89"/>
      <c r="I385" s="90"/>
      <c r="J385" s="91"/>
      <c r="K385" s="79"/>
      <c r="L385" s="80"/>
      <c r="M385" s="81"/>
      <c r="N385" s="82"/>
    </row>
    <row r="386">
      <c r="A386" s="69"/>
      <c r="B386" s="99">
        <f>SUBTOTAL(9, B380:B385)</f>
        <v>0</v>
      </c>
      <c r="C386" s="100"/>
      <c r="D386" s="101"/>
      <c r="E386" s="132">
        <f>SUBTOTAL(9, E380:E385)</f>
        <v>0</v>
      </c>
      <c r="F386" s="74"/>
      <c r="G386" s="94"/>
      <c r="H386" s="95"/>
      <c r="I386" s="103" t="s">
        <v>201</v>
      </c>
      <c r="J386" s="104">
        <f>IF(OR(B386=0, B386=""), 0, IFERROR(SUM(J380, J381, J384) - SUM(J382, J383) + J385, 0))</f>
        <v>0</v>
      </c>
      <c r="K386" s="79"/>
      <c r="L386" s="80"/>
      <c r="M386" s="81"/>
      <c r="N386" s="82"/>
    </row>
    <row r="387">
      <c r="A387" s="69"/>
      <c r="B387" s="105"/>
      <c r="F387" s="87"/>
      <c r="G387" s="96"/>
      <c r="H387" s="89"/>
      <c r="I387" s="106" t="s">
        <v>205</v>
      </c>
      <c r="J387" s="125"/>
      <c r="K387" s="79"/>
      <c r="L387" s="80"/>
      <c r="M387" s="81"/>
      <c r="N387" s="82"/>
    </row>
    <row r="388">
      <c r="A388" s="69"/>
      <c r="F388" s="74"/>
      <c r="G388" s="94"/>
      <c r="H388" s="95"/>
      <c r="I388" s="108" t="s">
        <v>208</v>
      </c>
      <c r="J388" s="109">
        <f>SUM(J386) - SUM(J387)</f>
        <v>0</v>
      </c>
      <c r="K388" s="79"/>
      <c r="L388" s="80"/>
      <c r="M388" s="81"/>
      <c r="N388" s="82"/>
    </row>
    <row r="389">
      <c r="A389" s="69"/>
      <c r="F389" s="87"/>
      <c r="G389" s="96"/>
      <c r="H389" s="89"/>
      <c r="I389" s="77"/>
      <c r="J389" s="78"/>
      <c r="K389" s="79"/>
      <c r="L389" s="80"/>
      <c r="M389" s="81"/>
      <c r="N389" s="82"/>
    </row>
    <row r="390">
      <c r="A390" s="69"/>
      <c r="F390" s="74"/>
      <c r="G390" s="94"/>
      <c r="H390" s="95"/>
      <c r="I390" s="77"/>
      <c r="J390" s="78"/>
      <c r="K390" s="79"/>
      <c r="L390" s="80"/>
      <c r="M390" s="81"/>
      <c r="N390" s="82"/>
    </row>
    <row r="391">
      <c r="A391" s="69"/>
      <c r="F391" s="87"/>
      <c r="G391" s="96"/>
      <c r="H391" s="89"/>
      <c r="I391" s="126"/>
      <c r="J391" s="113"/>
      <c r="K391" s="79"/>
      <c r="L391" s="80"/>
      <c r="M391" s="81"/>
      <c r="N391" s="82"/>
    </row>
    <row r="392">
      <c r="A392" s="69"/>
      <c r="F392" s="74"/>
      <c r="G392" s="94"/>
      <c r="H392" s="95"/>
      <c r="I392" s="129" t="s">
        <v>213</v>
      </c>
      <c r="J392" s="130">
        <f>IF(OR(B386=0, B386=""), 0, IFERROR(E386-H396, 0))</f>
        <v>0</v>
      </c>
      <c r="K392" s="79"/>
      <c r="L392" s="80"/>
      <c r="M392" s="81"/>
      <c r="N392" s="82"/>
    </row>
    <row r="393">
      <c r="A393" s="69"/>
      <c r="F393" s="87"/>
      <c r="G393" s="96"/>
      <c r="H393" s="89"/>
      <c r="I393" s="77"/>
      <c r="J393" s="78"/>
      <c r="K393" s="79"/>
      <c r="L393" s="80"/>
      <c r="M393" s="81"/>
      <c r="N393" s="82"/>
    </row>
    <row r="394">
      <c r="A394" s="69"/>
      <c r="F394" s="74"/>
      <c r="G394" s="94"/>
      <c r="H394" s="95"/>
      <c r="I394" s="77"/>
      <c r="J394" s="78"/>
      <c r="K394" s="79"/>
      <c r="L394" s="80"/>
      <c r="M394" s="81"/>
      <c r="N394" s="82"/>
    </row>
    <row r="395">
      <c r="A395" s="69"/>
      <c r="F395" s="87"/>
      <c r="G395" s="96"/>
      <c r="H395" s="89"/>
      <c r="I395" s="77"/>
      <c r="J395" s="78"/>
      <c r="K395" s="79"/>
      <c r="L395" s="80"/>
      <c r="M395" s="81"/>
      <c r="N395" s="82"/>
    </row>
    <row r="396">
      <c r="A396" s="69"/>
      <c r="F396" s="74"/>
      <c r="G396" s="116" t="s">
        <v>201</v>
      </c>
      <c r="H396" s="117">
        <f>SUBTOTAL(9, H380:H395)</f>
        <v>0</v>
      </c>
      <c r="I396" s="77"/>
      <c r="J396" s="78"/>
      <c r="K396" s="79"/>
      <c r="L396" s="80"/>
      <c r="M396" s="81"/>
      <c r="N396" s="82"/>
    </row>
    <row r="397">
      <c r="A397" s="118" t="s">
        <v>598</v>
      </c>
      <c r="B397" s="119" t="s">
        <v>162</v>
      </c>
      <c r="C397" s="120" t="s">
        <v>163</v>
      </c>
      <c r="D397" s="121" t="s">
        <v>8</v>
      </c>
      <c r="E397" s="121" t="s">
        <v>164</v>
      </c>
      <c r="F397" s="120" t="s">
        <v>165</v>
      </c>
      <c r="G397" s="120" t="s">
        <v>10</v>
      </c>
      <c r="H397" s="121" t="s">
        <v>164</v>
      </c>
      <c r="I397" s="122" t="s">
        <v>10</v>
      </c>
      <c r="J397" s="121" t="s">
        <v>164</v>
      </c>
      <c r="K397" s="120" t="s">
        <v>166</v>
      </c>
      <c r="L397" s="121" t="s">
        <v>164</v>
      </c>
      <c r="M397" s="81"/>
      <c r="N397" s="82"/>
    </row>
    <row r="398">
      <c r="A398" s="69"/>
      <c r="B398" s="105"/>
      <c r="C398" s="71" t="s">
        <v>163</v>
      </c>
      <c r="D398" s="72"/>
      <c r="E398" s="73" t="str">
        <f t="shared" ref="E398:E403" si="47">IF(OR(B398="", D398=""), "⏳", B398*D398)</f>
        <v>⏳</v>
      </c>
      <c r="F398" s="74" t="s">
        <v>169</v>
      </c>
      <c r="G398" s="75" t="str">
        <f>FIXED('Copy of harian'!B404, 0, FALSE) &amp; " x Rp 120"</f>
        <v>0 x Rp 120</v>
      </c>
      <c r="H398" s="95">
        <f t="shared" ref="H398:H399" si="48">IF(OR(G398="", G398="---", NOT(ISNUMBER(SEARCH(" x ", G398)))), 0, VALUE(SUBSTITUTE(LEFT(G398, SEARCH(" x ", G398)-1), ".", "")) * VALUE(MID(G398, SEARCH(" x ", G398)+3, LEN(G398))))</f>
        <v>0</v>
      </c>
      <c r="I398" s="77" t="s">
        <v>172</v>
      </c>
      <c r="J398" s="78"/>
      <c r="K398" s="79"/>
      <c r="L398" s="80"/>
      <c r="M398" s="81"/>
      <c r="N398" s="82"/>
    </row>
    <row r="399">
      <c r="A399" s="69"/>
      <c r="B399" s="124"/>
      <c r="C399" s="84" t="s">
        <v>163</v>
      </c>
      <c r="D399" s="85"/>
      <c r="E399" s="86" t="str">
        <f t="shared" si="47"/>
        <v>⏳</v>
      </c>
      <c r="F399" s="87" t="s">
        <v>176</v>
      </c>
      <c r="G399" s="88" t="str">
        <f>FIXED('Copy of harian'!B404, 0, FALSE) &amp; " x Rp 170"</f>
        <v>0 x Rp 170</v>
      </c>
      <c r="H399" s="89">
        <f t="shared" si="48"/>
        <v>0</v>
      </c>
      <c r="I399" s="90" t="s">
        <v>179</v>
      </c>
      <c r="J399" s="91">
        <f>E404</f>
        <v>0</v>
      </c>
      <c r="K399" s="92"/>
      <c r="L399" s="93"/>
      <c r="M399" s="81"/>
      <c r="N399" s="82"/>
    </row>
    <row r="400">
      <c r="A400" s="69"/>
      <c r="B400" s="105"/>
      <c r="C400" s="71" t="s">
        <v>163</v>
      </c>
      <c r="D400" s="72"/>
      <c r="E400" s="73" t="str">
        <f t="shared" si="47"/>
        <v>⏳</v>
      </c>
      <c r="F400" s="74" t="s">
        <v>183</v>
      </c>
      <c r="G400" s="94"/>
      <c r="H400" s="95"/>
      <c r="I400" s="77" t="s">
        <v>184</v>
      </c>
      <c r="J400" s="78" t="str">
        <f>IF(H414&gt;0, H414, "")</f>
        <v/>
      </c>
      <c r="K400" s="79"/>
      <c r="L400" s="80"/>
      <c r="M400" s="81"/>
      <c r="N400" s="82"/>
    </row>
    <row r="401">
      <c r="A401" s="69"/>
      <c r="B401" s="124"/>
      <c r="C401" s="84" t="s">
        <v>163</v>
      </c>
      <c r="D401" s="85"/>
      <c r="E401" s="86" t="str">
        <f t="shared" si="47"/>
        <v>⏳</v>
      </c>
      <c r="F401" s="87" t="s">
        <v>188</v>
      </c>
      <c r="G401" s="96"/>
      <c r="H401" s="89"/>
      <c r="I401" s="90" t="s">
        <v>166</v>
      </c>
      <c r="J401" s="91"/>
      <c r="K401" s="92"/>
      <c r="L401" s="93"/>
      <c r="M401" s="81"/>
      <c r="N401" s="82"/>
    </row>
    <row r="402">
      <c r="A402" s="69"/>
      <c r="B402" s="105"/>
      <c r="C402" s="71" t="s">
        <v>163</v>
      </c>
      <c r="D402" s="72"/>
      <c r="E402" s="73" t="str">
        <f t="shared" si="47"/>
        <v>⏳</v>
      </c>
      <c r="F402" s="74"/>
      <c r="G402" s="94"/>
      <c r="H402" s="95"/>
      <c r="I402" s="77" t="s">
        <v>195</v>
      </c>
      <c r="J402" s="78"/>
      <c r="K402" s="79"/>
      <c r="L402" s="80"/>
      <c r="M402" s="81"/>
      <c r="N402" s="82"/>
    </row>
    <row r="403">
      <c r="A403" s="69"/>
      <c r="B403" s="124"/>
      <c r="C403" s="84"/>
      <c r="D403" s="85"/>
      <c r="E403" s="86" t="str">
        <f t="shared" si="47"/>
        <v>⏳</v>
      </c>
      <c r="F403" s="87"/>
      <c r="G403" s="96"/>
      <c r="H403" s="89"/>
      <c r="I403" s="90"/>
      <c r="J403" s="91"/>
      <c r="K403" s="79"/>
      <c r="L403" s="80"/>
      <c r="M403" s="81"/>
      <c r="N403" s="82"/>
    </row>
    <row r="404">
      <c r="A404" s="69"/>
      <c r="B404" s="99">
        <f>SUBTOTAL(9, B398:B403)</f>
        <v>0</v>
      </c>
      <c r="C404" s="100"/>
      <c r="D404" s="101"/>
      <c r="E404" s="132">
        <f>SUBTOTAL(9, E398:E403)</f>
        <v>0</v>
      </c>
      <c r="F404" s="74"/>
      <c r="G404" s="94"/>
      <c r="H404" s="95"/>
      <c r="I404" s="103" t="s">
        <v>201</v>
      </c>
      <c r="J404" s="104">
        <f>IF(OR(B404=0, B404=""), 0, IFERROR(SUM(J398, J399, J402) - SUM(J400, J401) + J403, 0))</f>
        <v>0</v>
      </c>
      <c r="K404" s="79"/>
      <c r="L404" s="80"/>
      <c r="M404" s="81"/>
      <c r="N404" s="82"/>
    </row>
    <row r="405">
      <c r="A405" s="69"/>
      <c r="B405" s="105"/>
      <c r="F405" s="87"/>
      <c r="G405" s="96"/>
      <c r="H405" s="89"/>
      <c r="I405" s="106" t="s">
        <v>205</v>
      </c>
      <c r="J405" s="125"/>
      <c r="K405" s="79"/>
      <c r="L405" s="80"/>
      <c r="M405" s="81"/>
      <c r="N405" s="82"/>
    </row>
    <row r="406">
      <c r="A406" s="69"/>
      <c r="F406" s="74"/>
      <c r="G406" s="94"/>
      <c r="H406" s="95"/>
      <c r="I406" s="108" t="s">
        <v>208</v>
      </c>
      <c r="J406" s="109">
        <f>SUM(J404) - SUM(J405)</f>
        <v>0</v>
      </c>
      <c r="K406" s="79"/>
      <c r="L406" s="80"/>
      <c r="M406" s="81"/>
      <c r="N406" s="82"/>
    </row>
    <row r="407">
      <c r="A407" s="69"/>
      <c r="F407" s="87"/>
      <c r="G407" s="96"/>
      <c r="H407" s="89"/>
      <c r="I407" s="77"/>
      <c r="J407" s="78"/>
      <c r="K407" s="79"/>
      <c r="L407" s="80"/>
      <c r="M407" s="81"/>
      <c r="N407" s="82"/>
    </row>
    <row r="408">
      <c r="A408" s="69"/>
      <c r="F408" s="74"/>
      <c r="G408" s="94"/>
      <c r="H408" s="95"/>
      <c r="I408" s="77"/>
      <c r="J408" s="78"/>
      <c r="K408" s="79"/>
      <c r="L408" s="80"/>
      <c r="M408" s="81"/>
      <c r="N408" s="82"/>
    </row>
    <row r="409">
      <c r="A409" s="69"/>
      <c r="F409" s="87"/>
      <c r="G409" s="96"/>
      <c r="H409" s="89"/>
      <c r="I409" s="126"/>
      <c r="J409" s="113"/>
      <c r="K409" s="79"/>
      <c r="L409" s="80"/>
      <c r="M409" s="81"/>
      <c r="N409" s="82"/>
    </row>
    <row r="410">
      <c r="A410" s="69"/>
      <c r="F410" s="74"/>
      <c r="G410" s="94"/>
      <c r="H410" s="95"/>
      <c r="I410" s="129" t="s">
        <v>213</v>
      </c>
      <c r="J410" s="130">
        <f>IF(OR(B404=0, B404=""), 0, IFERROR(E404-H414, 0))</f>
        <v>0</v>
      </c>
      <c r="K410" s="79"/>
      <c r="L410" s="80"/>
      <c r="M410" s="81"/>
      <c r="N410" s="82"/>
    </row>
    <row r="411">
      <c r="A411" s="69"/>
      <c r="F411" s="87"/>
      <c r="G411" s="96"/>
      <c r="H411" s="89"/>
      <c r="I411" s="77"/>
      <c r="J411" s="78"/>
      <c r="K411" s="79"/>
      <c r="L411" s="80"/>
      <c r="M411" s="81"/>
      <c r="N411" s="82"/>
    </row>
    <row r="412">
      <c r="A412" s="69"/>
      <c r="F412" s="74"/>
      <c r="G412" s="94"/>
      <c r="H412" s="95"/>
      <c r="I412" s="77"/>
      <c r="J412" s="78"/>
      <c r="K412" s="79"/>
      <c r="L412" s="80"/>
      <c r="M412" s="81"/>
      <c r="N412" s="82"/>
    </row>
    <row r="413">
      <c r="A413" s="69"/>
      <c r="F413" s="87"/>
      <c r="G413" s="96"/>
      <c r="H413" s="89"/>
      <c r="I413" s="77"/>
      <c r="J413" s="78"/>
      <c r="K413" s="79"/>
      <c r="L413" s="80"/>
      <c r="M413" s="81"/>
      <c r="N413" s="82"/>
    </row>
    <row r="414">
      <c r="A414" s="69"/>
      <c r="F414" s="74"/>
      <c r="G414" s="116" t="s">
        <v>201</v>
      </c>
      <c r="H414" s="117">
        <f>SUBTOTAL(9, H398:H413)</f>
        <v>0</v>
      </c>
      <c r="I414" s="77"/>
      <c r="J414" s="78"/>
      <c r="K414" s="79"/>
      <c r="L414" s="80"/>
      <c r="M414" s="81"/>
      <c r="N414" s="82"/>
    </row>
    <row r="415">
      <c r="A415" s="118" t="s">
        <v>598</v>
      </c>
      <c r="B415" s="119" t="s">
        <v>215</v>
      </c>
      <c r="C415" s="120" t="s">
        <v>163</v>
      </c>
      <c r="D415" s="121" t="s">
        <v>8</v>
      </c>
      <c r="E415" s="121" t="s">
        <v>164</v>
      </c>
      <c r="F415" s="120" t="s">
        <v>216</v>
      </c>
      <c r="G415" s="120" t="s">
        <v>10</v>
      </c>
      <c r="H415" s="121" t="s">
        <v>164</v>
      </c>
      <c r="I415" s="122" t="s">
        <v>10</v>
      </c>
      <c r="J415" s="121" t="s">
        <v>164</v>
      </c>
      <c r="K415" s="120" t="s">
        <v>166</v>
      </c>
      <c r="L415" s="121" t="s">
        <v>164</v>
      </c>
      <c r="M415" s="81"/>
      <c r="N415" s="82"/>
    </row>
    <row r="416">
      <c r="A416" s="69"/>
      <c r="B416" s="105"/>
      <c r="C416" s="71" t="s">
        <v>163</v>
      </c>
      <c r="D416" s="72"/>
      <c r="E416" s="73" t="str">
        <f t="shared" ref="E416:E421" si="49">IF(OR(B416="", D416=""), "⏳", B416*D416)</f>
        <v>⏳</v>
      </c>
      <c r="F416" s="74" t="s">
        <v>169</v>
      </c>
      <c r="G416" s="75" t="str">
        <f>FIXED('Copy of harian'!B422, 0, FALSE) &amp; " x Rp 120"</f>
        <v>0 x Rp 120</v>
      </c>
      <c r="H416" s="95">
        <f t="shared" ref="H416:H417" si="50">IF(OR(G416="", G416="---", NOT(ISNUMBER(SEARCH(" x ", G416)))), 0, VALUE(SUBSTITUTE(LEFT(G416, SEARCH(" x ", G416)-1), ".", "")) * VALUE(MID(G416, SEARCH(" x ", G416)+3, LEN(G416))))</f>
        <v>0</v>
      </c>
      <c r="I416" s="77" t="s">
        <v>172</v>
      </c>
      <c r="J416" s="78"/>
      <c r="K416" s="79"/>
      <c r="L416" s="80"/>
      <c r="M416" s="81"/>
      <c r="N416" s="82"/>
    </row>
    <row r="417">
      <c r="A417" s="69"/>
      <c r="B417" s="124"/>
      <c r="C417" s="84" t="s">
        <v>163</v>
      </c>
      <c r="D417" s="85"/>
      <c r="E417" s="86" t="str">
        <f t="shared" si="49"/>
        <v>⏳</v>
      </c>
      <c r="F417" s="87" t="s">
        <v>176</v>
      </c>
      <c r="G417" s="88" t="str">
        <f>FIXED('Copy of harian'!B422, 0, FALSE) &amp; " x Rp 170"</f>
        <v>0 x Rp 170</v>
      </c>
      <c r="H417" s="89">
        <f t="shared" si="50"/>
        <v>0</v>
      </c>
      <c r="I417" s="90" t="s">
        <v>225</v>
      </c>
      <c r="J417" s="91">
        <f>E422</f>
        <v>0</v>
      </c>
      <c r="K417" s="92"/>
      <c r="L417" s="93"/>
      <c r="M417" s="81"/>
      <c r="N417" s="82"/>
    </row>
    <row r="418">
      <c r="A418" s="69"/>
      <c r="B418" s="105"/>
      <c r="C418" s="71" t="s">
        <v>163</v>
      </c>
      <c r="D418" s="72"/>
      <c r="E418" s="73" t="str">
        <f t="shared" si="49"/>
        <v>⏳</v>
      </c>
      <c r="F418" s="74" t="s">
        <v>183</v>
      </c>
      <c r="G418" s="94"/>
      <c r="H418" s="95"/>
      <c r="I418" s="77" t="s">
        <v>229</v>
      </c>
      <c r="J418" s="78" t="str">
        <f>IF(H432&gt;0, H432, "")</f>
        <v/>
      </c>
      <c r="K418" s="79"/>
      <c r="L418" s="80"/>
      <c r="M418" s="81"/>
      <c r="N418" s="82"/>
    </row>
    <row r="419">
      <c r="A419" s="69"/>
      <c r="B419" s="124"/>
      <c r="C419" s="84" t="s">
        <v>163</v>
      </c>
      <c r="D419" s="85"/>
      <c r="E419" s="86" t="str">
        <f t="shared" si="49"/>
        <v>⏳</v>
      </c>
      <c r="F419" s="87" t="s">
        <v>188</v>
      </c>
      <c r="G419" s="96"/>
      <c r="H419" s="89"/>
      <c r="I419" s="90" t="s">
        <v>166</v>
      </c>
      <c r="J419" s="91"/>
      <c r="K419" s="92"/>
      <c r="L419" s="93"/>
      <c r="M419" s="81"/>
      <c r="N419" s="82"/>
    </row>
    <row r="420">
      <c r="A420" s="69"/>
      <c r="B420" s="105"/>
      <c r="C420" s="71" t="s">
        <v>163</v>
      </c>
      <c r="D420" s="72"/>
      <c r="E420" s="73" t="str">
        <f t="shared" si="49"/>
        <v>⏳</v>
      </c>
      <c r="F420" s="74"/>
      <c r="G420" s="94"/>
      <c r="H420" s="95"/>
      <c r="I420" s="77" t="s">
        <v>195</v>
      </c>
      <c r="J420" s="78"/>
      <c r="K420" s="79"/>
      <c r="L420" s="80"/>
      <c r="M420" s="81"/>
      <c r="N420" s="82"/>
    </row>
    <row r="421">
      <c r="A421" s="69"/>
      <c r="B421" s="124"/>
      <c r="C421" s="84"/>
      <c r="D421" s="85"/>
      <c r="E421" s="86" t="str">
        <f t="shared" si="49"/>
        <v>⏳</v>
      </c>
      <c r="F421" s="87"/>
      <c r="G421" s="96"/>
      <c r="H421" s="89"/>
      <c r="I421" s="90"/>
      <c r="J421" s="91"/>
      <c r="K421" s="79"/>
      <c r="L421" s="80"/>
      <c r="M421" s="81"/>
      <c r="N421" s="82"/>
    </row>
    <row r="422">
      <c r="A422" s="69"/>
      <c r="B422" s="99">
        <f>SUBTOTAL(9, B416:B421)</f>
        <v>0</v>
      </c>
      <c r="C422" s="100"/>
      <c r="D422" s="101"/>
      <c r="E422" s="132">
        <f>SUBTOTAL(9, E416:E421)</f>
        <v>0</v>
      </c>
      <c r="F422" s="74"/>
      <c r="G422" s="94"/>
      <c r="H422" s="95"/>
      <c r="I422" s="103" t="s">
        <v>201</v>
      </c>
      <c r="J422" s="104">
        <f>IF(OR(B422=0, B422=""), 0, IFERROR(SUM(J416, J417, J420) - SUM(J418, J419) + J421, 0))</f>
        <v>0</v>
      </c>
      <c r="K422" s="79"/>
      <c r="L422" s="80"/>
      <c r="M422" s="81"/>
      <c r="N422" s="82"/>
    </row>
    <row r="423">
      <c r="A423" s="69"/>
      <c r="B423" s="105"/>
      <c r="F423" s="87"/>
      <c r="G423" s="96"/>
      <c r="H423" s="89"/>
      <c r="I423" s="106" t="s">
        <v>205</v>
      </c>
      <c r="J423" s="125"/>
      <c r="K423" s="79"/>
      <c r="L423" s="80"/>
      <c r="M423" s="81"/>
      <c r="N423" s="82"/>
    </row>
    <row r="424">
      <c r="A424" s="69"/>
      <c r="F424" s="74"/>
      <c r="G424" s="94"/>
      <c r="H424" s="95"/>
      <c r="I424" s="108" t="s">
        <v>208</v>
      </c>
      <c r="J424" s="109">
        <f>SUM(J422) - SUM(J423)</f>
        <v>0</v>
      </c>
      <c r="K424" s="79"/>
      <c r="L424" s="80"/>
      <c r="M424" s="81"/>
      <c r="N424" s="82"/>
    </row>
    <row r="425">
      <c r="A425" s="69"/>
      <c r="F425" s="87"/>
      <c r="G425" s="96"/>
      <c r="H425" s="89"/>
      <c r="I425" s="77"/>
      <c r="J425" s="78"/>
      <c r="K425" s="79"/>
      <c r="L425" s="80"/>
      <c r="M425" s="81"/>
      <c r="N425" s="82"/>
    </row>
    <row r="426">
      <c r="A426" s="69"/>
      <c r="F426" s="74"/>
      <c r="G426" s="94"/>
      <c r="H426" s="95"/>
      <c r="I426" s="77"/>
      <c r="J426" s="78"/>
      <c r="K426" s="79"/>
      <c r="L426" s="80"/>
      <c r="M426" s="81"/>
      <c r="N426" s="82"/>
    </row>
    <row r="427">
      <c r="A427" s="69"/>
      <c r="F427" s="87"/>
      <c r="G427" s="96"/>
      <c r="H427" s="89"/>
      <c r="I427" s="126"/>
      <c r="J427" s="113"/>
      <c r="K427" s="79"/>
      <c r="L427" s="80"/>
      <c r="M427" s="81"/>
      <c r="N427" s="82"/>
    </row>
    <row r="428">
      <c r="A428" s="69"/>
      <c r="F428" s="74"/>
      <c r="G428" s="94"/>
      <c r="H428" s="95"/>
      <c r="I428" s="129" t="s">
        <v>213</v>
      </c>
      <c r="J428" s="130">
        <f>IF(OR(B422=0, B422=""), 0, IFERROR(E422-H432, 0))</f>
        <v>0</v>
      </c>
      <c r="K428" s="79"/>
      <c r="L428" s="80"/>
      <c r="M428" s="81"/>
      <c r="N428" s="82"/>
    </row>
    <row r="429">
      <c r="A429" s="69"/>
      <c r="F429" s="87"/>
      <c r="G429" s="96"/>
      <c r="H429" s="89"/>
      <c r="I429" s="77"/>
      <c r="J429" s="78"/>
      <c r="K429" s="79"/>
      <c r="L429" s="80"/>
      <c r="M429" s="81"/>
      <c r="N429" s="82"/>
    </row>
    <row r="430">
      <c r="A430" s="69"/>
      <c r="F430" s="74"/>
      <c r="G430" s="94"/>
      <c r="H430" s="95"/>
      <c r="I430" s="77"/>
      <c r="J430" s="78"/>
      <c r="K430" s="79"/>
      <c r="L430" s="80"/>
      <c r="M430" s="81"/>
      <c r="N430" s="82"/>
    </row>
    <row r="431">
      <c r="A431" s="69"/>
      <c r="F431" s="87"/>
      <c r="G431" s="96"/>
      <c r="H431" s="89"/>
      <c r="I431" s="77"/>
      <c r="J431" s="78"/>
      <c r="K431" s="79"/>
      <c r="L431" s="80"/>
      <c r="M431" s="81"/>
      <c r="N431" s="82"/>
    </row>
    <row r="432">
      <c r="A432" s="69"/>
      <c r="F432" s="74"/>
      <c r="G432" s="116" t="s">
        <v>201</v>
      </c>
      <c r="H432" s="117">
        <f>SUBTOTAL(9, H416:H431)</f>
        <v>0</v>
      </c>
      <c r="I432" s="77"/>
      <c r="J432" s="78"/>
      <c r="K432" s="79"/>
      <c r="L432" s="80"/>
      <c r="M432" s="81"/>
      <c r="N432" s="82"/>
    </row>
    <row r="433">
      <c r="A433" s="133"/>
      <c r="B433" s="134"/>
      <c r="C433" s="135"/>
      <c r="D433" s="136"/>
      <c r="E433" s="137"/>
      <c r="F433" s="138"/>
      <c r="G433" s="139"/>
      <c r="H433" s="140"/>
      <c r="I433" s="141"/>
      <c r="J433" s="142"/>
      <c r="K433" s="143"/>
      <c r="L433" s="142"/>
      <c r="M433" s="82"/>
      <c r="N433" s="82"/>
    </row>
    <row r="434">
      <c r="A434" s="144"/>
      <c r="B434" s="145"/>
      <c r="C434" s="146"/>
      <c r="D434" s="147"/>
      <c r="E434" s="148"/>
      <c r="F434" s="149"/>
      <c r="G434" s="150"/>
      <c r="H434" s="151"/>
      <c r="I434" s="152"/>
      <c r="J434" s="153"/>
      <c r="K434" s="149"/>
      <c r="L434" s="153"/>
      <c r="M434" s="82"/>
      <c r="N434" s="82"/>
    </row>
    <row r="435">
      <c r="A435" s="144"/>
      <c r="B435" s="145"/>
      <c r="C435" s="146"/>
      <c r="D435" s="147"/>
      <c r="E435" s="148"/>
      <c r="F435" s="149"/>
      <c r="G435" s="150"/>
      <c r="H435" s="151"/>
      <c r="I435" s="152"/>
      <c r="J435" s="153"/>
      <c r="K435" s="149"/>
      <c r="L435" s="153"/>
      <c r="M435" s="82"/>
      <c r="N435" s="82"/>
    </row>
    <row r="436">
      <c r="A436" s="144"/>
      <c r="B436" s="145"/>
      <c r="C436" s="146"/>
      <c r="D436" s="147"/>
      <c r="E436" s="148"/>
      <c r="F436" s="149"/>
      <c r="G436" s="150"/>
      <c r="H436" s="151"/>
      <c r="I436" s="152"/>
      <c r="J436" s="153"/>
      <c r="K436" s="149"/>
      <c r="L436" s="153"/>
      <c r="M436" s="82"/>
      <c r="N436" s="82"/>
    </row>
    <row r="437">
      <c r="A437" s="144"/>
      <c r="B437" s="145"/>
      <c r="C437" s="146"/>
      <c r="D437" s="147"/>
      <c r="E437" s="148"/>
      <c r="F437" s="149"/>
      <c r="G437" s="150"/>
      <c r="H437" s="151"/>
      <c r="I437" s="152"/>
      <c r="J437" s="153"/>
      <c r="K437" s="149"/>
      <c r="L437" s="153"/>
      <c r="M437" s="82"/>
      <c r="N437" s="82"/>
    </row>
    <row r="438">
      <c r="A438" s="144"/>
      <c r="B438" s="145"/>
      <c r="C438" s="146"/>
      <c r="D438" s="147"/>
      <c r="E438" s="148"/>
      <c r="F438" s="149"/>
      <c r="G438" s="150"/>
      <c r="H438" s="151"/>
      <c r="I438" s="152"/>
      <c r="J438" s="153"/>
      <c r="K438" s="149"/>
      <c r="L438" s="153"/>
      <c r="M438" s="82"/>
      <c r="N438" s="82"/>
    </row>
    <row r="439">
      <c r="A439" s="144"/>
      <c r="B439" s="145"/>
      <c r="C439" s="146"/>
      <c r="D439" s="147"/>
      <c r="E439" s="148"/>
      <c r="F439" s="149"/>
      <c r="G439" s="150"/>
      <c r="H439" s="151"/>
      <c r="I439" s="152"/>
      <c r="J439" s="153"/>
      <c r="K439" s="149"/>
      <c r="L439" s="153"/>
      <c r="M439" s="82"/>
      <c r="N439" s="82"/>
    </row>
    <row r="440">
      <c r="A440" s="144"/>
      <c r="B440" s="145"/>
      <c r="C440" s="146"/>
      <c r="D440" s="147"/>
      <c r="E440" s="148"/>
      <c r="F440" s="149"/>
      <c r="G440" s="150"/>
      <c r="H440" s="151"/>
      <c r="I440" s="152"/>
      <c r="J440" s="153"/>
      <c r="K440" s="149"/>
      <c r="L440" s="153"/>
      <c r="M440" s="82"/>
      <c r="N440" s="82"/>
    </row>
    <row r="441">
      <c r="A441" s="144"/>
      <c r="B441" s="145"/>
      <c r="C441" s="146"/>
      <c r="D441" s="147"/>
      <c r="E441" s="148"/>
      <c r="F441" s="149"/>
      <c r="G441" s="150"/>
      <c r="H441" s="151"/>
      <c r="I441" s="152"/>
      <c r="J441" s="153"/>
      <c r="K441" s="149"/>
      <c r="L441" s="153"/>
      <c r="M441" s="82"/>
      <c r="N441" s="82"/>
    </row>
    <row r="442">
      <c r="A442" s="144"/>
      <c r="B442" s="145"/>
      <c r="C442" s="146"/>
      <c r="D442" s="147"/>
      <c r="E442" s="148"/>
      <c r="F442" s="149"/>
      <c r="G442" s="150"/>
      <c r="H442" s="151"/>
      <c r="I442" s="152"/>
      <c r="J442" s="153"/>
      <c r="K442" s="149"/>
      <c r="L442" s="153"/>
      <c r="M442" s="82"/>
      <c r="N442" s="82"/>
    </row>
    <row r="443">
      <c r="A443" s="144"/>
      <c r="B443" s="145"/>
      <c r="C443" s="146"/>
      <c r="D443" s="147"/>
      <c r="E443" s="148"/>
      <c r="F443" s="149"/>
      <c r="G443" s="150"/>
      <c r="H443" s="151"/>
      <c r="I443" s="152"/>
      <c r="J443" s="153"/>
      <c r="K443" s="149"/>
      <c r="L443" s="153"/>
      <c r="M443" s="82"/>
      <c r="N443" s="82"/>
    </row>
    <row r="444">
      <c r="A444" s="144"/>
      <c r="B444" s="145"/>
      <c r="C444" s="146"/>
      <c r="D444" s="147"/>
      <c r="E444" s="148"/>
      <c r="F444" s="149"/>
      <c r="G444" s="150"/>
      <c r="H444" s="151"/>
      <c r="I444" s="152"/>
      <c r="J444" s="153"/>
      <c r="K444" s="149"/>
      <c r="L444" s="153"/>
      <c r="M444" s="82"/>
      <c r="N444" s="82"/>
    </row>
    <row r="445">
      <c r="A445" s="144"/>
      <c r="B445" s="145"/>
      <c r="C445" s="146"/>
      <c r="D445" s="147"/>
      <c r="E445" s="148"/>
      <c r="F445" s="149"/>
      <c r="G445" s="150"/>
      <c r="H445" s="151"/>
      <c r="I445" s="152"/>
      <c r="J445" s="153"/>
      <c r="K445" s="149"/>
      <c r="L445" s="153"/>
      <c r="M445" s="82"/>
      <c r="N445" s="82"/>
    </row>
    <row r="446">
      <c r="A446" s="144"/>
      <c r="B446" s="145"/>
      <c r="C446" s="146"/>
      <c r="D446" s="147"/>
      <c r="E446" s="148"/>
      <c r="F446" s="149"/>
      <c r="G446" s="150"/>
      <c r="H446" s="151"/>
      <c r="I446" s="152"/>
      <c r="J446" s="153"/>
      <c r="K446" s="149"/>
      <c r="L446" s="153"/>
      <c r="M446" s="82"/>
      <c r="N446" s="82"/>
    </row>
    <row r="447">
      <c r="A447" s="144"/>
      <c r="B447" s="145"/>
      <c r="C447" s="146"/>
      <c r="D447" s="147"/>
      <c r="E447" s="148"/>
      <c r="F447" s="149"/>
      <c r="G447" s="150"/>
      <c r="H447" s="151"/>
      <c r="I447" s="152"/>
      <c r="J447" s="153"/>
      <c r="K447" s="149"/>
      <c r="L447" s="153"/>
      <c r="M447" s="82"/>
      <c r="N447" s="82"/>
    </row>
    <row r="448">
      <c r="A448" s="144"/>
      <c r="B448" s="145"/>
      <c r="C448" s="146"/>
      <c r="D448" s="147"/>
      <c r="E448" s="148"/>
      <c r="F448" s="149"/>
      <c r="G448" s="150"/>
      <c r="H448" s="151"/>
      <c r="I448" s="152"/>
      <c r="J448" s="153"/>
      <c r="K448" s="149"/>
      <c r="L448" s="153"/>
      <c r="M448" s="82"/>
      <c r="N448" s="82"/>
    </row>
    <row r="449">
      <c r="A449" s="144"/>
      <c r="B449" s="145"/>
      <c r="C449" s="146"/>
      <c r="D449" s="147"/>
      <c r="E449" s="148"/>
      <c r="F449" s="149"/>
      <c r="G449" s="150"/>
      <c r="H449" s="151"/>
      <c r="I449" s="152"/>
      <c r="J449" s="153"/>
      <c r="K449" s="149"/>
      <c r="L449" s="153"/>
      <c r="M449" s="82"/>
      <c r="N449" s="82"/>
    </row>
    <row r="450">
      <c r="A450" s="144"/>
      <c r="B450" s="145"/>
      <c r="C450" s="146"/>
      <c r="D450" s="147"/>
      <c r="E450" s="148"/>
      <c r="F450" s="149"/>
      <c r="G450" s="150"/>
      <c r="H450" s="151"/>
      <c r="I450" s="152"/>
      <c r="J450" s="153"/>
      <c r="K450" s="149"/>
      <c r="L450" s="153"/>
      <c r="M450" s="82"/>
      <c r="N450" s="82"/>
    </row>
    <row r="451">
      <c r="A451" s="144"/>
      <c r="B451" s="145"/>
      <c r="C451" s="146"/>
      <c r="D451" s="147"/>
      <c r="E451" s="148"/>
      <c r="F451" s="149"/>
      <c r="G451" s="150"/>
      <c r="H451" s="151"/>
      <c r="I451" s="152"/>
      <c r="J451" s="153"/>
      <c r="K451" s="149"/>
      <c r="L451" s="153"/>
      <c r="M451" s="82"/>
      <c r="N451" s="82"/>
    </row>
    <row r="452">
      <c r="A452" s="144"/>
      <c r="B452" s="145"/>
      <c r="C452" s="146"/>
      <c r="D452" s="147"/>
      <c r="E452" s="148"/>
      <c r="F452" s="149"/>
      <c r="G452" s="150"/>
      <c r="H452" s="151"/>
      <c r="I452" s="152"/>
      <c r="J452" s="153"/>
      <c r="K452" s="149"/>
      <c r="L452" s="153"/>
      <c r="M452" s="82"/>
      <c r="N452" s="82"/>
    </row>
    <row r="453">
      <c r="A453" s="144"/>
      <c r="B453" s="145"/>
      <c r="C453" s="146"/>
      <c r="D453" s="147"/>
      <c r="E453" s="148"/>
      <c r="F453" s="149"/>
      <c r="G453" s="150"/>
      <c r="H453" s="151"/>
      <c r="I453" s="152"/>
      <c r="J453" s="153"/>
      <c r="K453" s="149"/>
      <c r="L453" s="153"/>
      <c r="M453" s="82"/>
      <c r="N453" s="82"/>
    </row>
    <row r="454">
      <c r="A454" s="144"/>
      <c r="B454" s="145"/>
      <c r="C454" s="146"/>
      <c r="D454" s="147"/>
      <c r="E454" s="148"/>
      <c r="F454" s="149"/>
      <c r="G454" s="150"/>
      <c r="H454" s="151"/>
      <c r="I454" s="152"/>
      <c r="J454" s="153"/>
      <c r="K454" s="149"/>
      <c r="L454" s="153"/>
      <c r="M454" s="82"/>
      <c r="N454" s="82"/>
    </row>
    <row r="455">
      <c r="A455" s="144"/>
      <c r="B455" s="145"/>
      <c r="C455" s="146"/>
      <c r="D455" s="147"/>
      <c r="E455" s="148"/>
      <c r="F455" s="149"/>
      <c r="G455" s="150"/>
      <c r="H455" s="151"/>
      <c r="I455" s="152"/>
      <c r="J455" s="153"/>
      <c r="K455" s="149"/>
      <c r="L455" s="153"/>
      <c r="M455" s="82"/>
      <c r="N455" s="82"/>
    </row>
    <row r="456">
      <c r="A456" s="144"/>
      <c r="B456" s="145"/>
      <c r="C456" s="146"/>
      <c r="D456" s="147"/>
      <c r="E456" s="148"/>
      <c r="F456" s="149"/>
      <c r="G456" s="150"/>
      <c r="H456" s="151"/>
      <c r="I456" s="152"/>
      <c r="J456" s="153"/>
      <c r="K456" s="149"/>
      <c r="L456" s="153"/>
      <c r="M456" s="82"/>
      <c r="N456" s="82"/>
    </row>
    <row r="457">
      <c r="A457" s="144"/>
      <c r="B457" s="145"/>
      <c r="C457" s="146"/>
      <c r="D457" s="147"/>
      <c r="E457" s="148"/>
      <c r="F457" s="149"/>
      <c r="G457" s="150"/>
      <c r="H457" s="151"/>
      <c r="I457" s="152"/>
      <c r="J457" s="153"/>
      <c r="K457" s="149"/>
      <c r="L457" s="153"/>
      <c r="M457" s="82"/>
      <c r="N457" s="82"/>
    </row>
    <row r="458">
      <c r="A458" s="144"/>
      <c r="B458" s="145"/>
      <c r="C458" s="146"/>
      <c r="D458" s="147"/>
      <c r="E458" s="148"/>
      <c r="F458" s="149"/>
      <c r="G458" s="150"/>
      <c r="H458" s="151"/>
      <c r="I458" s="152"/>
      <c r="J458" s="153"/>
      <c r="K458" s="149"/>
      <c r="L458" s="153"/>
      <c r="M458" s="82"/>
      <c r="N458" s="82"/>
    </row>
    <row r="459">
      <c r="A459" s="144"/>
      <c r="B459" s="145"/>
      <c r="C459" s="146"/>
      <c r="D459" s="147"/>
      <c r="E459" s="148"/>
      <c r="F459" s="149"/>
      <c r="G459" s="150"/>
      <c r="H459" s="151"/>
      <c r="I459" s="152"/>
      <c r="J459" s="153"/>
      <c r="K459" s="149"/>
      <c r="L459" s="153"/>
      <c r="M459" s="82"/>
      <c r="N459" s="82"/>
    </row>
    <row r="460">
      <c r="A460" s="144"/>
      <c r="B460" s="145"/>
      <c r="C460" s="146"/>
      <c r="D460" s="147"/>
      <c r="E460" s="148"/>
      <c r="F460" s="149"/>
      <c r="G460" s="150"/>
      <c r="H460" s="151"/>
      <c r="I460" s="152"/>
      <c r="J460" s="153"/>
      <c r="K460" s="149"/>
      <c r="L460" s="153"/>
      <c r="M460" s="82"/>
      <c r="N460" s="82"/>
    </row>
    <row r="461">
      <c r="A461" s="144"/>
      <c r="B461" s="145"/>
      <c r="C461" s="146"/>
      <c r="D461" s="147"/>
      <c r="E461" s="148"/>
      <c r="F461" s="149"/>
      <c r="G461" s="150"/>
      <c r="H461" s="151"/>
      <c r="I461" s="152"/>
      <c r="J461" s="153"/>
      <c r="K461" s="149"/>
      <c r="L461" s="153"/>
      <c r="M461" s="82"/>
      <c r="N461" s="82"/>
    </row>
    <row r="462">
      <c r="A462" s="144"/>
      <c r="B462" s="145"/>
      <c r="C462" s="146"/>
      <c r="D462" s="147"/>
      <c r="E462" s="148"/>
      <c r="F462" s="149"/>
      <c r="G462" s="150"/>
      <c r="H462" s="151"/>
      <c r="I462" s="152"/>
      <c r="J462" s="153"/>
      <c r="K462" s="149"/>
      <c r="L462" s="153"/>
      <c r="M462" s="82"/>
      <c r="N462" s="82"/>
    </row>
    <row r="463">
      <c r="A463" s="144"/>
      <c r="B463" s="145"/>
      <c r="C463" s="146"/>
      <c r="D463" s="147"/>
      <c r="E463" s="148"/>
      <c r="F463" s="149"/>
      <c r="G463" s="150"/>
      <c r="H463" s="151"/>
      <c r="I463" s="152"/>
      <c r="J463" s="153"/>
      <c r="K463" s="149"/>
      <c r="L463" s="153"/>
      <c r="M463" s="82"/>
      <c r="N463" s="82"/>
    </row>
    <row r="464">
      <c r="A464" s="144"/>
      <c r="B464" s="145"/>
      <c r="C464" s="146"/>
      <c r="D464" s="147"/>
      <c r="E464" s="148"/>
      <c r="F464" s="149"/>
      <c r="G464" s="150"/>
      <c r="H464" s="151"/>
      <c r="I464" s="152"/>
      <c r="J464" s="153"/>
      <c r="K464" s="149"/>
      <c r="L464" s="153"/>
      <c r="M464" s="82"/>
      <c r="N464" s="82"/>
    </row>
    <row r="465">
      <c r="A465" s="144"/>
      <c r="B465" s="145"/>
      <c r="C465" s="146"/>
      <c r="D465" s="147"/>
      <c r="E465" s="148"/>
      <c r="F465" s="149"/>
      <c r="G465" s="150"/>
      <c r="H465" s="151"/>
      <c r="I465" s="152"/>
      <c r="J465" s="153"/>
      <c r="K465" s="149"/>
      <c r="L465" s="153"/>
      <c r="M465" s="82"/>
      <c r="N465" s="82"/>
    </row>
    <row r="466">
      <c r="A466" s="144"/>
      <c r="B466" s="145"/>
      <c r="C466" s="146"/>
      <c r="D466" s="147"/>
      <c r="E466" s="148"/>
      <c r="F466" s="149"/>
      <c r="G466" s="150"/>
      <c r="H466" s="151"/>
      <c r="I466" s="152"/>
      <c r="J466" s="153"/>
      <c r="K466" s="149"/>
      <c r="L466" s="153"/>
      <c r="M466" s="82"/>
      <c r="N466" s="82"/>
    </row>
    <row r="467">
      <c r="A467" s="144"/>
      <c r="B467" s="145"/>
      <c r="C467" s="146"/>
      <c r="D467" s="147"/>
      <c r="E467" s="148"/>
      <c r="F467" s="149"/>
      <c r="G467" s="150"/>
      <c r="H467" s="151"/>
      <c r="I467" s="152"/>
      <c r="J467" s="153"/>
      <c r="K467" s="149"/>
      <c r="L467" s="153"/>
      <c r="M467" s="82"/>
      <c r="N467" s="82"/>
    </row>
    <row r="468">
      <c r="A468" s="144"/>
      <c r="B468" s="145"/>
      <c r="C468" s="146"/>
      <c r="D468" s="147"/>
      <c r="E468" s="148"/>
      <c r="F468" s="149"/>
      <c r="G468" s="150"/>
      <c r="H468" s="151"/>
      <c r="I468" s="152"/>
      <c r="J468" s="153"/>
      <c r="K468" s="149"/>
      <c r="L468" s="153"/>
      <c r="M468" s="82"/>
      <c r="N468" s="82"/>
    </row>
    <row r="469">
      <c r="A469" s="144"/>
      <c r="B469" s="145"/>
      <c r="C469" s="146"/>
      <c r="D469" s="147"/>
      <c r="E469" s="148"/>
      <c r="F469" s="149"/>
      <c r="G469" s="150"/>
      <c r="H469" s="151"/>
      <c r="I469" s="152"/>
      <c r="J469" s="153"/>
      <c r="K469" s="149"/>
      <c r="L469" s="153"/>
      <c r="M469" s="82"/>
      <c r="N469" s="82"/>
    </row>
    <row r="470">
      <c r="A470" s="144"/>
      <c r="B470" s="145"/>
      <c r="C470" s="146"/>
      <c r="D470" s="147"/>
      <c r="E470" s="148"/>
      <c r="F470" s="149"/>
      <c r="G470" s="150"/>
      <c r="H470" s="151"/>
      <c r="I470" s="152"/>
      <c r="J470" s="153"/>
      <c r="K470" s="149"/>
      <c r="L470" s="153"/>
      <c r="M470" s="82"/>
      <c r="N470" s="82"/>
    </row>
    <row r="471">
      <c r="A471" s="144"/>
      <c r="B471" s="145"/>
      <c r="C471" s="146"/>
      <c r="D471" s="147"/>
      <c r="E471" s="148"/>
      <c r="F471" s="149"/>
      <c r="G471" s="150"/>
      <c r="H471" s="151"/>
      <c r="I471" s="152"/>
      <c r="J471" s="153"/>
      <c r="K471" s="149"/>
      <c r="L471" s="153"/>
      <c r="M471" s="82"/>
      <c r="N471" s="82"/>
    </row>
    <row r="472">
      <c r="A472" s="144"/>
      <c r="B472" s="145"/>
      <c r="C472" s="146"/>
      <c r="D472" s="147"/>
      <c r="E472" s="148"/>
      <c r="F472" s="149"/>
      <c r="G472" s="150"/>
      <c r="H472" s="151"/>
      <c r="I472" s="152"/>
      <c r="J472" s="153"/>
      <c r="K472" s="149"/>
      <c r="L472" s="153"/>
      <c r="M472" s="82"/>
      <c r="N472" s="82"/>
    </row>
    <row r="473">
      <c r="A473" s="144"/>
      <c r="B473" s="145"/>
      <c r="C473" s="146"/>
      <c r="D473" s="147"/>
      <c r="E473" s="148"/>
      <c r="F473" s="149"/>
      <c r="G473" s="150"/>
      <c r="H473" s="151"/>
      <c r="I473" s="152"/>
      <c r="J473" s="153"/>
      <c r="K473" s="149"/>
      <c r="L473" s="153"/>
      <c r="M473" s="82"/>
      <c r="N473" s="82"/>
    </row>
    <row r="474">
      <c r="A474" s="144"/>
      <c r="B474" s="145"/>
      <c r="C474" s="146"/>
      <c r="D474" s="147"/>
      <c r="E474" s="148"/>
      <c r="F474" s="149"/>
      <c r="G474" s="150"/>
      <c r="H474" s="151"/>
      <c r="I474" s="152"/>
      <c r="J474" s="153"/>
      <c r="K474" s="149"/>
      <c r="L474" s="153"/>
      <c r="M474" s="82"/>
      <c r="N474" s="82"/>
    </row>
    <row r="475">
      <c r="A475" s="144"/>
      <c r="B475" s="145"/>
      <c r="C475" s="146"/>
      <c r="D475" s="147"/>
      <c r="E475" s="148"/>
      <c r="F475" s="149"/>
      <c r="G475" s="150"/>
      <c r="H475" s="151"/>
      <c r="I475" s="152"/>
      <c r="J475" s="153"/>
      <c r="K475" s="149"/>
      <c r="L475" s="153"/>
      <c r="M475" s="82"/>
      <c r="N475" s="82"/>
    </row>
    <row r="476">
      <c r="A476" s="144"/>
      <c r="B476" s="145"/>
      <c r="C476" s="146"/>
      <c r="D476" s="147"/>
      <c r="E476" s="148"/>
      <c r="F476" s="149"/>
      <c r="G476" s="150"/>
      <c r="H476" s="151"/>
      <c r="I476" s="152"/>
      <c r="J476" s="153"/>
      <c r="K476" s="149"/>
      <c r="L476" s="153"/>
      <c r="M476" s="82"/>
      <c r="N476" s="82"/>
    </row>
    <row r="477">
      <c r="A477" s="144"/>
      <c r="B477" s="145"/>
      <c r="C477" s="146"/>
      <c r="D477" s="147"/>
      <c r="E477" s="148"/>
      <c r="F477" s="149"/>
      <c r="G477" s="150"/>
      <c r="H477" s="151"/>
      <c r="I477" s="152"/>
      <c r="J477" s="153"/>
      <c r="K477" s="149"/>
      <c r="L477" s="153"/>
      <c r="M477" s="82"/>
      <c r="N477" s="82"/>
    </row>
    <row r="478">
      <c r="A478" s="144"/>
      <c r="B478" s="145"/>
      <c r="C478" s="146"/>
      <c r="D478" s="147"/>
      <c r="E478" s="148"/>
      <c r="F478" s="149"/>
      <c r="G478" s="150"/>
      <c r="H478" s="151"/>
      <c r="I478" s="152"/>
      <c r="J478" s="153"/>
      <c r="K478" s="149"/>
      <c r="L478" s="153"/>
      <c r="M478" s="82"/>
      <c r="N478" s="82"/>
    </row>
    <row r="479">
      <c r="A479" s="144"/>
      <c r="B479" s="145"/>
      <c r="C479" s="146"/>
      <c r="D479" s="147"/>
      <c r="E479" s="148"/>
      <c r="F479" s="149"/>
      <c r="G479" s="150"/>
      <c r="H479" s="151"/>
      <c r="I479" s="152"/>
      <c r="J479" s="153"/>
      <c r="K479" s="149"/>
      <c r="L479" s="153"/>
      <c r="M479" s="82"/>
      <c r="N479" s="82"/>
    </row>
    <row r="480">
      <c r="A480" s="144"/>
      <c r="B480" s="145"/>
      <c r="C480" s="146"/>
      <c r="D480" s="147"/>
      <c r="E480" s="148"/>
      <c r="F480" s="149"/>
      <c r="G480" s="150"/>
      <c r="H480" s="151"/>
      <c r="I480" s="152"/>
      <c r="J480" s="153"/>
      <c r="K480" s="149"/>
      <c r="L480" s="153"/>
      <c r="M480" s="82"/>
      <c r="N480" s="82"/>
    </row>
    <row r="481">
      <c r="A481" s="144"/>
      <c r="B481" s="145"/>
      <c r="C481" s="146"/>
      <c r="D481" s="147"/>
      <c r="E481" s="148"/>
      <c r="F481" s="149"/>
      <c r="G481" s="150"/>
      <c r="H481" s="151"/>
      <c r="I481" s="152"/>
      <c r="J481" s="153"/>
      <c r="K481" s="149"/>
      <c r="L481" s="153"/>
      <c r="M481" s="82"/>
      <c r="N481" s="82"/>
    </row>
    <row r="482">
      <c r="A482" s="144"/>
      <c r="B482" s="145"/>
      <c r="C482" s="146"/>
      <c r="D482" s="147"/>
      <c r="E482" s="148"/>
      <c r="F482" s="149"/>
      <c r="G482" s="150"/>
      <c r="H482" s="151"/>
      <c r="I482" s="152"/>
      <c r="J482" s="153"/>
      <c r="K482" s="149"/>
      <c r="L482" s="153"/>
      <c r="M482" s="82"/>
      <c r="N482" s="82"/>
    </row>
    <row r="483">
      <c r="A483" s="144"/>
      <c r="B483" s="145"/>
      <c r="C483" s="146"/>
      <c r="D483" s="147"/>
      <c r="E483" s="148"/>
      <c r="F483" s="149"/>
      <c r="G483" s="150"/>
      <c r="H483" s="151"/>
      <c r="I483" s="152"/>
      <c r="J483" s="153"/>
      <c r="K483" s="149"/>
      <c r="L483" s="153"/>
      <c r="M483" s="82"/>
      <c r="N483" s="82"/>
    </row>
    <row r="484">
      <c r="A484" s="144"/>
      <c r="B484" s="145"/>
      <c r="C484" s="146"/>
      <c r="D484" s="147"/>
      <c r="E484" s="148"/>
      <c r="F484" s="149"/>
      <c r="G484" s="150"/>
      <c r="H484" s="151"/>
      <c r="I484" s="152"/>
      <c r="J484" s="153"/>
      <c r="K484" s="149"/>
      <c r="L484" s="153"/>
      <c r="M484" s="82"/>
      <c r="N484" s="82"/>
    </row>
    <row r="485">
      <c r="A485" s="144"/>
      <c r="B485" s="145"/>
      <c r="C485" s="146"/>
      <c r="D485" s="147"/>
      <c r="E485" s="148"/>
      <c r="F485" s="149"/>
      <c r="G485" s="150"/>
      <c r="H485" s="151"/>
      <c r="I485" s="152"/>
      <c r="J485" s="153"/>
      <c r="K485" s="149"/>
      <c r="L485" s="153"/>
      <c r="M485" s="82"/>
      <c r="N485" s="82"/>
    </row>
    <row r="486">
      <c r="A486" s="144"/>
      <c r="B486" s="145"/>
      <c r="C486" s="146"/>
      <c r="D486" s="147"/>
      <c r="E486" s="148"/>
      <c r="F486" s="149"/>
      <c r="G486" s="150"/>
      <c r="H486" s="151"/>
      <c r="I486" s="152"/>
      <c r="J486" s="153"/>
      <c r="K486" s="149"/>
      <c r="L486" s="153"/>
      <c r="M486" s="82"/>
      <c r="N486" s="82"/>
    </row>
    <row r="487">
      <c r="A487" s="144"/>
      <c r="B487" s="145"/>
      <c r="C487" s="146"/>
      <c r="D487" s="147"/>
      <c r="E487" s="148"/>
      <c r="F487" s="149"/>
      <c r="G487" s="150"/>
      <c r="H487" s="151"/>
      <c r="I487" s="152"/>
      <c r="J487" s="153"/>
      <c r="K487" s="149"/>
      <c r="L487" s="153"/>
      <c r="M487" s="82"/>
      <c r="N487" s="82"/>
    </row>
    <row r="488">
      <c r="A488" s="144"/>
      <c r="B488" s="145"/>
      <c r="C488" s="146"/>
      <c r="D488" s="147"/>
      <c r="E488" s="148"/>
      <c r="F488" s="149"/>
      <c r="G488" s="150"/>
      <c r="H488" s="151"/>
      <c r="I488" s="152"/>
      <c r="J488" s="153"/>
      <c r="K488" s="149"/>
      <c r="L488" s="153"/>
      <c r="M488" s="82"/>
      <c r="N488" s="82"/>
    </row>
    <row r="489">
      <c r="A489" s="144"/>
      <c r="B489" s="145"/>
      <c r="C489" s="146"/>
      <c r="D489" s="147"/>
      <c r="E489" s="148"/>
      <c r="F489" s="149"/>
      <c r="G489" s="150"/>
      <c r="H489" s="151"/>
      <c r="I489" s="152"/>
      <c r="J489" s="153"/>
      <c r="K489" s="149"/>
      <c r="L489" s="153"/>
      <c r="M489" s="82"/>
      <c r="N489" s="82"/>
    </row>
    <row r="490">
      <c r="A490" s="144"/>
      <c r="B490" s="145"/>
      <c r="C490" s="146"/>
      <c r="D490" s="147"/>
      <c r="E490" s="148"/>
      <c r="F490" s="149"/>
      <c r="G490" s="150"/>
      <c r="H490" s="151"/>
      <c r="I490" s="152"/>
      <c r="J490" s="153"/>
      <c r="K490" s="149"/>
      <c r="L490" s="153"/>
      <c r="M490" s="82"/>
      <c r="N490" s="82"/>
    </row>
    <row r="491">
      <c r="A491" s="144"/>
      <c r="B491" s="145"/>
      <c r="C491" s="146"/>
      <c r="D491" s="147"/>
      <c r="E491" s="148"/>
      <c r="F491" s="149"/>
      <c r="G491" s="150"/>
      <c r="H491" s="151"/>
      <c r="I491" s="152"/>
      <c r="J491" s="153"/>
      <c r="K491" s="149"/>
      <c r="L491" s="153"/>
      <c r="M491" s="82"/>
      <c r="N491" s="82"/>
    </row>
    <row r="492">
      <c r="A492" s="144"/>
      <c r="B492" s="145"/>
      <c r="C492" s="146"/>
      <c r="D492" s="147"/>
      <c r="E492" s="148"/>
      <c r="F492" s="149"/>
      <c r="G492" s="150"/>
      <c r="H492" s="151"/>
      <c r="I492" s="152"/>
      <c r="J492" s="153"/>
      <c r="K492" s="149"/>
      <c r="L492" s="153"/>
      <c r="M492" s="82"/>
      <c r="N492" s="82"/>
    </row>
    <row r="493">
      <c r="A493" s="144"/>
      <c r="B493" s="145"/>
      <c r="C493" s="146"/>
      <c r="D493" s="147"/>
      <c r="E493" s="148"/>
      <c r="F493" s="149"/>
      <c r="G493" s="150"/>
      <c r="H493" s="151"/>
      <c r="I493" s="152"/>
      <c r="J493" s="153"/>
      <c r="K493" s="149"/>
      <c r="L493" s="153"/>
      <c r="M493" s="82"/>
      <c r="N493" s="82"/>
    </row>
    <row r="494">
      <c r="A494" s="144"/>
      <c r="B494" s="145"/>
      <c r="C494" s="146"/>
      <c r="D494" s="147"/>
      <c r="E494" s="148"/>
      <c r="F494" s="149"/>
      <c r="G494" s="150"/>
      <c r="H494" s="151"/>
      <c r="I494" s="152"/>
      <c r="J494" s="153"/>
      <c r="K494" s="149"/>
      <c r="L494" s="153"/>
      <c r="M494" s="82"/>
      <c r="N494" s="82"/>
    </row>
    <row r="495">
      <c r="A495" s="144"/>
      <c r="B495" s="145"/>
      <c r="C495" s="146"/>
      <c r="D495" s="147"/>
      <c r="E495" s="148"/>
      <c r="F495" s="149"/>
      <c r="G495" s="150"/>
      <c r="H495" s="151"/>
      <c r="I495" s="152"/>
      <c r="J495" s="153"/>
      <c r="K495" s="149"/>
      <c r="L495" s="153"/>
      <c r="M495" s="82"/>
      <c r="N495" s="82"/>
    </row>
    <row r="496">
      <c r="A496" s="144"/>
      <c r="B496" s="145"/>
      <c r="C496" s="146"/>
      <c r="D496" s="147"/>
      <c r="E496" s="148"/>
      <c r="F496" s="149"/>
      <c r="G496" s="150"/>
      <c r="H496" s="151"/>
      <c r="I496" s="152"/>
      <c r="J496" s="153"/>
      <c r="K496" s="149"/>
      <c r="L496" s="153"/>
      <c r="M496" s="82"/>
      <c r="N496" s="82"/>
    </row>
    <row r="497">
      <c r="A497" s="144"/>
      <c r="B497" s="145"/>
      <c r="C497" s="146"/>
      <c r="D497" s="147"/>
      <c r="E497" s="148"/>
      <c r="F497" s="149"/>
      <c r="G497" s="150"/>
      <c r="H497" s="151"/>
      <c r="I497" s="152"/>
      <c r="J497" s="153"/>
      <c r="K497" s="149"/>
      <c r="L497" s="153"/>
      <c r="M497" s="82"/>
      <c r="N497" s="82"/>
    </row>
    <row r="498">
      <c r="A498" s="144"/>
      <c r="B498" s="145"/>
      <c r="C498" s="146"/>
      <c r="D498" s="147"/>
      <c r="E498" s="148"/>
      <c r="F498" s="149"/>
      <c r="G498" s="150"/>
      <c r="H498" s="151"/>
      <c r="I498" s="152"/>
      <c r="J498" s="153"/>
      <c r="K498" s="149"/>
      <c r="L498" s="153"/>
      <c r="M498" s="82"/>
      <c r="N498" s="82"/>
    </row>
    <row r="499">
      <c r="A499" s="144"/>
      <c r="B499" s="145"/>
      <c r="C499" s="146"/>
      <c r="D499" s="147"/>
      <c r="E499" s="148"/>
      <c r="F499" s="149"/>
      <c r="G499" s="150"/>
      <c r="H499" s="151"/>
      <c r="I499" s="152"/>
      <c r="J499" s="153"/>
      <c r="K499" s="149"/>
      <c r="L499" s="153"/>
      <c r="M499" s="82"/>
      <c r="N499" s="82"/>
    </row>
    <row r="500">
      <c r="A500" s="144"/>
      <c r="B500" s="145"/>
      <c r="C500" s="146"/>
      <c r="D500" s="147"/>
      <c r="E500" s="148"/>
      <c r="F500" s="149"/>
      <c r="G500" s="150"/>
      <c r="H500" s="151"/>
      <c r="I500" s="152"/>
      <c r="J500" s="153"/>
      <c r="K500" s="149"/>
      <c r="L500" s="153"/>
      <c r="M500" s="82"/>
      <c r="N500" s="82"/>
    </row>
    <row r="501">
      <c r="A501" s="144"/>
      <c r="B501" s="145"/>
      <c r="C501" s="146"/>
      <c r="D501" s="147"/>
      <c r="E501" s="148"/>
      <c r="F501" s="149"/>
      <c r="G501" s="150"/>
      <c r="H501" s="151"/>
      <c r="I501" s="152"/>
      <c r="J501" s="153"/>
      <c r="K501" s="149"/>
      <c r="L501" s="153"/>
      <c r="M501" s="82"/>
      <c r="N501" s="82"/>
    </row>
    <row r="502">
      <c r="A502" s="144"/>
      <c r="B502" s="145"/>
      <c r="C502" s="146"/>
      <c r="D502" s="147"/>
      <c r="E502" s="148"/>
      <c r="F502" s="149"/>
      <c r="G502" s="150"/>
      <c r="H502" s="151"/>
      <c r="I502" s="152"/>
      <c r="J502" s="153"/>
      <c r="K502" s="149"/>
      <c r="L502" s="153"/>
      <c r="M502" s="82"/>
      <c r="N502" s="82"/>
    </row>
    <row r="503">
      <c r="A503" s="144"/>
      <c r="B503" s="145"/>
      <c r="C503" s="146"/>
      <c r="D503" s="147"/>
      <c r="E503" s="148"/>
      <c r="F503" s="149"/>
      <c r="G503" s="150"/>
      <c r="H503" s="151"/>
      <c r="I503" s="152"/>
      <c r="J503" s="153"/>
      <c r="K503" s="149"/>
      <c r="L503" s="153"/>
      <c r="M503" s="82"/>
      <c r="N503" s="82"/>
    </row>
    <row r="504">
      <c r="A504" s="144"/>
      <c r="B504" s="145"/>
      <c r="C504" s="146"/>
      <c r="D504" s="147"/>
      <c r="E504" s="148"/>
      <c r="F504" s="149"/>
      <c r="G504" s="150"/>
      <c r="H504" s="151"/>
      <c r="I504" s="152"/>
      <c r="J504" s="153"/>
      <c r="K504" s="149"/>
      <c r="L504" s="153"/>
      <c r="M504" s="82"/>
      <c r="N504" s="82"/>
    </row>
    <row r="505">
      <c r="A505" s="144"/>
      <c r="B505" s="145"/>
      <c r="C505" s="146"/>
      <c r="D505" s="147"/>
      <c r="E505" s="148"/>
      <c r="F505" s="149"/>
      <c r="G505" s="150"/>
      <c r="H505" s="151"/>
      <c r="I505" s="152"/>
      <c r="J505" s="153"/>
      <c r="K505" s="149"/>
      <c r="L505" s="153"/>
      <c r="M505" s="82"/>
      <c r="N505" s="82"/>
    </row>
    <row r="506">
      <c r="A506" s="144"/>
      <c r="B506" s="145"/>
      <c r="C506" s="146"/>
      <c r="D506" s="147"/>
      <c r="E506" s="148"/>
      <c r="F506" s="149"/>
      <c r="G506" s="150"/>
      <c r="H506" s="151"/>
      <c r="I506" s="152"/>
      <c r="J506" s="153"/>
      <c r="K506" s="149"/>
      <c r="L506" s="153"/>
      <c r="M506" s="82"/>
      <c r="N506" s="82"/>
    </row>
    <row r="507">
      <c r="A507" s="144"/>
      <c r="B507" s="145"/>
      <c r="C507" s="146"/>
      <c r="D507" s="147"/>
      <c r="E507" s="148"/>
      <c r="F507" s="149"/>
      <c r="G507" s="150"/>
      <c r="H507" s="151"/>
      <c r="I507" s="152"/>
      <c r="J507" s="153"/>
      <c r="K507" s="149"/>
      <c r="L507" s="153"/>
      <c r="M507" s="82"/>
      <c r="N507" s="82"/>
    </row>
    <row r="508">
      <c r="A508" s="144"/>
      <c r="B508" s="145"/>
      <c r="C508" s="146"/>
      <c r="D508" s="147"/>
      <c r="E508" s="148"/>
      <c r="F508" s="149"/>
      <c r="G508" s="150"/>
      <c r="H508" s="151"/>
      <c r="I508" s="152"/>
      <c r="J508" s="153"/>
      <c r="K508" s="149"/>
      <c r="L508" s="153"/>
      <c r="M508" s="82"/>
      <c r="N508" s="82"/>
    </row>
    <row r="509">
      <c r="A509" s="144"/>
      <c r="B509" s="145"/>
      <c r="C509" s="146"/>
      <c r="D509" s="147"/>
      <c r="E509" s="148"/>
      <c r="F509" s="149"/>
      <c r="G509" s="150"/>
      <c r="H509" s="151"/>
      <c r="I509" s="152"/>
      <c r="J509" s="153"/>
      <c r="K509" s="149"/>
      <c r="L509" s="153"/>
      <c r="M509" s="82"/>
      <c r="N509" s="82"/>
    </row>
    <row r="510">
      <c r="A510" s="144"/>
      <c r="B510" s="145"/>
      <c r="C510" s="146"/>
      <c r="D510" s="147"/>
      <c r="E510" s="148"/>
      <c r="F510" s="149"/>
      <c r="G510" s="150"/>
      <c r="H510" s="151"/>
      <c r="I510" s="152"/>
      <c r="J510" s="153"/>
      <c r="K510" s="149"/>
      <c r="L510" s="153"/>
      <c r="M510" s="82"/>
      <c r="N510" s="82"/>
    </row>
    <row r="511">
      <c r="A511" s="144"/>
      <c r="B511" s="145"/>
      <c r="C511" s="146"/>
      <c r="D511" s="147"/>
      <c r="E511" s="148"/>
      <c r="F511" s="149"/>
      <c r="G511" s="150"/>
      <c r="H511" s="151"/>
      <c r="I511" s="152"/>
      <c r="J511" s="153"/>
      <c r="K511" s="149"/>
      <c r="L511" s="153"/>
      <c r="M511" s="82"/>
      <c r="N511" s="82"/>
    </row>
    <row r="512">
      <c r="A512" s="144"/>
      <c r="B512" s="145"/>
      <c r="C512" s="146"/>
      <c r="D512" s="147"/>
      <c r="E512" s="148"/>
      <c r="F512" s="149"/>
      <c r="G512" s="150"/>
      <c r="H512" s="151"/>
      <c r="I512" s="152"/>
      <c r="J512" s="153"/>
      <c r="K512" s="149"/>
      <c r="L512" s="153"/>
      <c r="M512" s="82"/>
      <c r="N512" s="82"/>
    </row>
    <row r="513">
      <c r="A513" s="144"/>
      <c r="B513" s="145"/>
      <c r="C513" s="146"/>
      <c r="D513" s="147"/>
      <c r="E513" s="148"/>
      <c r="F513" s="149"/>
      <c r="G513" s="150"/>
      <c r="H513" s="151"/>
      <c r="I513" s="152"/>
      <c r="J513" s="153"/>
      <c r="K513" s="149"/>
      <c r="L513" s="153"/>
      <c r="M513" s="82"/>
      <c r="N513" s="82"/>
    </row>
    <row r="514">
      <c r="A514" s="144"/>
      <c r="B514" s="145"/>
      <c r="C514" s="146"/>
      <c r="D514" s="147"/>
      <c r="E514" s="148"/>
      <c r="F514" s="149"/>
      <c r="G514" s="150"/>
      <c r="H514" s="151"/>
      <c r="I514" s="152"/>
      <c r="J514" s="153"/>
      <c r="K514" s="149"/>
      <c r="L514" s="153"/>
      <c r="M514" s="82"/>
      <c r="N514" s="82"/>
    </row>
    <row r="515">
      <c r="A515" s="144"/>
      <c r="B515" s="145"/>
      <c r="C515" s="146"/>
      <c r="D515" s="147"/>
      <c r="E515" s="148"/>
      <c r="F515" s="149"/>
      <c r="G515" s="150"/>
      <c r="H515" s="151"/>
      <c r="I515" s="152"/>
      <c r="J515" s="153"/>
      <c r="K515" s="149"/>
      <c r="L515" s="153"/>
      <c r="M515" s="82"/>
      <c r="N515" s="82"/>
    </row>
    <row r="516">
      <c r="A516" s="144"/>
      <c r="B516" s="145"/>
      <c r="C516" s="146"/>
      <c r="D516" s="147"/>
      <c r="E516" s="148"/>
      <c r="F516" s="149"/>
      <c r="G516" s="150"/>
      <c r="H516" s="151"/>
      <c r="I516" s="152"/>
      <c r="J516" s="153"/>
      <c r="K516" s="149"/>
      <c r="L516" s="153"/>
      <c r="M516" s="82"/>
      <c r="N516" s="82"/>
    </row>
    <row r="517">
      <c r="A517" s="144"/>
      <c r="B517" s="145"/>
      <c r="C517" s="146"/>
      <c r="D517" s="147"/>
      <c r="E517" s="148"/>
      <c r="F517" s="149"/>
      <c r="G517" s="150"/>
      <c r="H517" s="151"/>
      <c r="I517" s="152"/>
      <c r="J517" s="153"/>
      <c r="K517" s="149"/>
      <c r="L517" s="153"/>
      <c r="M517" s="82"/>
      <c r="N517" s="82"/>
    </row>
    <row r="518">
      <c r="A518" s="144"/>
      <c r="B518" s="145"/>
      <c r="C518" s="146"/>
      <c r="D518" s="147"/>
      <c r="E518" s="148"/>
      <c r="F518" s="149"/>
      <c r="G518" s="150"/>
      <c r="H518" s="151"/>
      <c r="I518" s="152"/>
      <c r="J518" s="153"/>
      <c r="K518" s="149"/>
      <c r="L518" s="153"/>
      <c r="M518" s="82"/>
      <c r="N518" s="82"/>
    </row>
    <row r="519">
      <c r="A519" s="144"/>
      <c r="B519" s="145"/>
      <c r="C519" s="146"/>
      <c r="D519" s="147"/>
      <c r="E519" s="148"/>
      <c r="F519" s="149"/>
      <c r="G519" s="150"/>
      <c r="H519" s="151"/>
      <c r="I519" s="152"/>
      <c r="J519" s="153"/>
      <c r="K519" s="149"/>
      <c r="L519" s="153"/>
      <c r="M519" s="82"/>
      <c r="N519" s="82"/>
    </row>
    <row r="520">
      <c r="A520" s="144"/>
      <c r="B520" s="145"/>
      <c r="C520" s="146"/>
      <c r="D520" s="147"/>
      <c r="E520" s="148"/>
      <c r="F520" s="149"/>
      <c r="G520" s="150"/>
      <c r="H520" s="151"/>
      <c r="I520" s="152"/>
      <c r="J520" s="153"/>
      <c r="K520" s="149"/>
      <c r="L520" s="153"/>
      <c r="M520" s="82"/>
      <c r="N520" s="82"/>
    </row>
    <row r="521">
      <c r="A521" s="144"/>
      <c r="B521" s="145"/>
      <c r="C521" s="146"/>
      <c r="D521" s="147"/>
      <c r="E521" s="148"/>
      <c r="F521" s="149"/>
      <c r="G521" s="150"/>
      <c r="H521" s="151"/>
      <c r="I521" s="152"/>
      <c r="J521" s="153"/>
      <c r="K521" s="149"/>
      <c r="L521" s="153"/>
      <c r="M521" s="82"/>
      <c r="N521" s="82"/>
    </row>
    <row r="522">
      <c r="A522" s="144"/>
      <c r="B522" s="145"/>
      <c r="C522" s="146"/>
      <c r="D522" s="147"/>
      <c r="E522" s="148"/>
      <c r="F522" s="149"/>
      <c r="G522" s="150"/>
      <c r="H522" s="151"/>
      <c r="I522" s="152"/>
      <c r="J522" s="153"/>
      <c r="K522" s="149"/>
      <c r="L522" s="153"/>
      <c r="M522" s="82"/>
      <c r="N522" s="82"/>
    </row>
    <row r="523">
      <c r="A523" s="144"/>
      <c r="B523" s="145"/>
      <c r="C523" s="146"/>
      <c r="D523" s="147"/>
      <c r="E523" s="148"/>
      <c r="F523" s="149"/>
      <c r="G523" s="150"/>
      <c r="H523" s="151"/>
      <c r="I523" s="152"/>
      <c r="J523" s="153"/>
      <c r="K523" s="149"/>
      <c r="L523" s="153"/>
      <c r="M523" s="82"/>
      <c r="N523" s="82"/>
    </row>
    <row r="524">
      <c r="A524" s="144"/>
      <c r="B524" s="145"/>
      <c r="C524" s="146"/>
      <c r="D524" s="147"/>
      <c r="E524" s="148"/>
      <c r="F524" s="149"/>
      <c r="G524" s="150"/>
      <c r="H524" s="151"/>
      <c r="I524" s="152"/>
      <c r="J524" s="153"/>
      <c r="K524" s="149"/>
      <c r="L524" s="153"/>
      <c r="M524" s="82"/>
      <c r="N524" s="82"/>
    </row>
    <row r="525">
      <c r="A525" s="144"/>
      <c r="B525" s="145"/>
      <c r="C525" s="146"/>
      <c r="D525" s="147"/>
      <c r="E525" s="148"/>
      <c r="F525" s="149"/>
      <c r="G525" s="150"/>
      <c r="H525" s="151"/>
      <c r="I525" s="152"/>
      <c r="J525" s="153"/>
      <c r="K525" s="149"/>
      <c r="L525" s="153"/>
      <c r="M525" s="82"/>
      <c r="N525" s="82"/>
    </row>
    <row r="526">
      <c r="A526" s="144"/>
      <c r="B526" s="145"/>
      <c r="C526" s="146"/>
      <c r="D526" s="147"/>
      <c r="E526" s="148"/>
      <c r="F526" s="149"/>
      <c r="G526" s="150"/>
      <c r="H526" s="151"/>
      <c r="I526" s="152"/>
      <c r="J526" s="153"/>
      <c r="K526" s="149"/>
      <c r="L526" s="153"/>
      <c r="M526" s="82"/>
      <c r="N526" s="82"/>
    </row>
    <row r="527">
      <c r="A527" s="144"/>
      <c r="B527" s="145"/>
      <c r="C527" s="146"/>
      <c r="D527" s="147"/>
      <c r="E527" s="148"/>
      <c r="F527" s="149"/>
      <c r="G527" s="150"/>
      <c r="H527" s="151"/>
      <c r="I527" s="152"/>
      <c r="J527" s="153"/>
      <c r="K527" s="149"/>
      <c r="L527" s="153"/>
      <c r="M527" s="82"/>
      <c r="N527" s="82"/>
    </row>
    <row r="528">
      <c r="A528" s="144"/>
      <c r="B528" s="145"/>
      <c r="C528" s="146"/>
      <c r="D528" s="147"/>
      <c r="E528" s="148"/>
      <c r="F528" s="149"/>
      <c r="G528" s="150"/>
      <c r="H528" s="151"/>
      <c r="I528" s="152"/>
      <c r="J528" s="153"/>
      <c r="K528" s="149"/>
      <c r="L528" s="153"/>
      <c r="M528" s="82"/>
      <c r="N528" s="82"/>
    </row>
    <row r="529">
      <c r="A529" s="144"/>
      <c r="B529" s="145"/>
      <c r="C529" s="146"/>
      <c r="D529" s="147"/>
      <c r="E529" s="148"/>
      <c r="F529" s="149"/>
      <c r="G529" s="150"/>
      <c r="H529" s="151"/>
      <c r="I529" s="152"/>
      <c r="J529" s="153"/>
      <c r="K529" s="149"/>
      <c r="L529" s="153"/>
      <c r="M529" s="82"/>
      <c r="N529" s="82"/>
    </row>
    <row r="530">
      <c r="A530" s="144"/>
      <c r="B530" s="145"/>
      <c r="C530" s="146"/>
      <c r="D530" s="147"/>
      <c r="E530" s="148"/>
      <c r="F530" s="149"/>
      <c r="G530" s="150"/>
      <c r="H530" s="151"/>
      <c r="I530" s="152"/>
      <c r="J530" s="153"/>
      <c r="K530" s="149"/>
      <c r="L530" s="153"/>
      <c r="M530" s="82"/>
      <c r="N530" s="82"/>
    </row>
    <row r="531">
      <c r="A531" s="144"/>
      <c r="B531" s="145"/>
      <c r="C531" s="146"/>
      <c r="D531" s="147"/>
      <c r="E531" s="148"/>
      <c r="F531" s="149"/>
      <c r="G531" s="150"/>
      <c r="H531" s="151"/>
      <c r="I531" s="152"/>
      <c r="J531" s="153"/>
      <c r="K531" s="149"/>
      <c r="L531" s="153"/>
      <c r="M531" s="82"/>
      <c r="N531" s="82"/>
    </row>
    <row r="532">
      <c r="A532" s="144"/>
      <c r="B532" s="145"/>
      <c r="C532" s="146"/>
      <c r="D532" s="147"/>
      <c r="E532" s="148"/>
      <c r="F532" s="149"/>
      <c r="G532" s="150"/>
      <c r="H532" s="151"/>
      <c r="I532" s="152"/>
      <c r="J532" s="153"/>
      <c r="K532" s="149"/>
      <c r="L532" s="153"/>
      <c r="M532" s="82"/>
      <c r="N532" s="82"/>
    </row>
    <row r="533">
      <c r="A533" s="144"/>
      <c r="B533" s="145"/>
      <c r="C533" s="146"/>
      <c r="D533" s="147"/>
      <c r="E533" s="148"/>
      <c r="F533" s="149"/>
      <c r="G533" s="150"/>
      <c r="H533" s="151"/>
      <c r="I533" s="152"/>
      <c r="J533" s="153"/>
      <c r="K533" s="149"/>
      <c r="L533" s="153"/>
      <c r="M533" s="82"/>
      <c r="N533" s="82"/>
    </row>
    <row r="534">
      <c r="A534" s="144"/>
      <c r="B534" s="145"/>
      <c r="C534" s="146"/>
      <c r="D534" s="147"/>
      <c r="E534" s="148"/>
      <c r="F534" s="149"/>
      <c r="G534" s="150"/>
      <c r="H534" s="151"/>
      <c r="I534" s="152"/>
      <c r="J534" s="153"/>
      <c r="K534" s="149"/>
      <c r="L534" s="153"/>
      <c r="M534" s="82"/>
      <c r="N534" s="82"/>
    </row>
    <row r="535">
      <c r="A535" s="144"/>
      <c r="B535" s="145"/>
      <c r="C535" s="146"/>
      <c r="D535" s="147"/>
      <c r="E535" s="148"/>
      <c r="F535" s="149"/>
      <c r="G535" s="150"/>
      <c r="H535" s="151"/>
      <c r="I535" s="152"/>
      <c r="J535" s="153"/>
      <c r="K535" s="149"/>
      <c r="L535" s="153"/>
      <c r="M535" s="82"/>
      <c r="N535" s="82"/>
    </row>
    <row r="536">
      <c r="A536" s="144"/>
      <c r="B536" s="145"/>
      <c r="C536" s="146"/>
      <c r="D536" s="147"/>
      <c r="E536" s="148"/>
      <c r="F536" s="149"/>
      <c r="G536" s="150"/>
      <c r="H536" s="151"/>
      <c r="I536" s="152"/>
      <c r="J536" s="153"/>
      <c r="K536" s="149"/>
      <c r="L536" s="153"/>
      <c r="M536" s="82"/>
      <c r="N536" s="82"/>
    </row>
    <row r="537">
      <c r="A537" s="144"/>
      <c r="B537" s="145"/>
      <c r="C537" s="146"/>
      <c r="D537" s="147"/>
      <c r="E537" s="148"/>
      <c r="F537" s="149"/>
      <c r="G537" s="150"/>
      <c r="H537" s="151"/>
      <c r="I537" s="152"/>
      <c r="J537" s="153"/>
      <c r="K537" s="149"/>
      <c r="L537" s="153"/>
      <c r="M537" s="82"/>
      <c r="N537" s="82"/>
    </row>
    <row r="538">
      <c r="A538" s="144"/>
      <c r="B538" s="145"/>
      <c r="C538" s="146"/>
      <c r="D538" s="147"/>
      <c r="E538" s="148"/>
      <c r="F538" s="149"/>
      <c r="G538" s="150"/>
      <c r="H538" s="151"/>
      <c r="I538" s="152"/>
      <c r="J538" s="153"/>
      <c r="K538" s="149"/>
      <c r="L538" s="153"/>
      <c r="M538" s="82"/>
      <c r="N538" s="82"/>
    </row>
    <row r="539">
      <c r="A539" s="144"/>
      <c r="B539" s="145"/>
      <c r="C539" s="146"/>
      <c r="D539" s="147"/>
      <c r="E539" s="148"/>
      <c r="F539" s="149"/>
      <c r="G539" s="150"/>
      <c r="H539" s="151"/>
      <c r="I539" s="152"/>
      <c r="J539" s="153"/>
      <c r="K539" s="149"/>
      <c r="L539" s="153"/>
      <c r="M539" s="82"/>
      <c r="N539" s="82"/>
    </row>
    <row r="540">
      <c r="A540" s="144"/>
      <c r="B540" s="145"/>
      <c r="C540" s="146"/>
      <c r="D540" s="147"/>
      <c r="E540" s="148"/>
      <c r="F540" s="149"/>
      <c r="G540" s="150"/>
      <c r="H540" s="151"/>
      <c r="I540" s="152"/>
      <c r="J540" s="153"/>
      <c r="K540" s="149"/>
      <c r="L540" s="153"/>
      <c r="M540" s="82"/>
      <c r="N540" s="82"/>
    </row>
    <row r="541">
      <c r="A541" s="144"/>
      <c r="B541" s="145"/>
      <c r="C541" s="146"/>
      <c r="D541" s="147"/>
      <c r="E541" s="148"/>
      <c r="F541" s="149"/>
      <c r="G541" s="150"/>
      <c r="H541" s="151"/>
      <c r="I541" s="152"/>
      <c r="J541" s="153"/>
      <c r="K541" s="149"/>
      <c r="L541" s="153"/>
      <c r="M541" s="82"/>
      <c r="N541" s="82"/>
    </row>
    <row r="542">
      <c r="A542" s="144"/>
      <c r="B542" s="145"/>
      <c r="C542" s="146"/>
      <c r="D542" s="147"/>
      <c r="E542" s="148"/>
      <c r="F542" s="149"/>
      <c r="G542" s="150"/>
      <c r="H542" s="151"/>
      <c r="I542" s="152"/>
      <c r="J542" s="153"/>
      <c r="K542" s="149"/>
      <c r="L542" s="153"/>
      <c r="M542" s="82"/>
      <c r="N542" s="82"/>
    </row>
    <row r="543">
      <c r="A543" s="144"/>
      <c r="B543" s="145"/>
      <c r="C543" s="146"/>
      <c r="D543" s="147"/>
      <c r="E543" s="148"/>
      <c r="F543" s="149"/>
      <c r="G543" s="150"/>
      <c r="H543" s="151"/>
      <c r="I543" s="152"/>
      <c r="J543" s="153"/>
      <c r="K543" s="149"/>
      <c r="L543" s="153"/>
      <c r="M543" s="82"/>
      <c r="N543" s="82"/>
    </row>
    <row r="544">
      <c r="A544" s="144"/>
      <c r="B544" s="145"/>
      <c r="C544" s="146"/>
      <c r="D544" s="147"/>
      <c r="E544" s="148"/>
      <c r="F544" s="149"/>
      <c r="G544" s="150"/>
      <c r="H544" s="151"/>
      <c r="I544" s="152"/>
      <c r="J544" s="153"/>
      <c r="K544" s="149"/>
      <c r="L544" s="153"/>
      <c r="M544" s="82"/>
      <c r="N544" s="82"/>
    </row>
    <row r="545">
      <c r="A545" s="144"/>
      <c r="B545" s="145"/>
      <c r="C545" s="146"/>
      <c r="D545" s="147"/>
      <c r="E545" s="148"/>
      <c r="F545" s="149"/>
      <c r="G545" s="150"/>
      <c r="H545" s="151"/>
      <c r="I545" s="152"/>
      <c r="J545" s="153"/>
      <c r="K545" s="149"/>
      <c r="L545" s="153"/>
      <c r="M545" s="82"/>
      <c r="N545" s="82"/>
    </row>
    <row r="546">
      <c r="A546" s="144"/>
      <c r="B546" s="145"/>
      <c r="C546" s="146"/>
      <c r="D546" s="147"/>
      <c r="E546" s="148"/>
      <c r="F546" s="149"/>
      <c r="G546" s="150"/>
      <c r="H546" s="151"/>
      <c r="I546" s="152"/>
      <c r="J546" s="153"/>
      <c r="K546" s="149"/>
      <c r="L546" s="153"/>
      <c r="M546" s="82"/>
      <c r="N546" s="82"/>
    </row>
    <row r="547">
      <c r="A547" s="144"/>
      <c r="B547" s="145"/>
      <c r="C547" s="146"/>
      <c r="D547" s="147"/>
      <c r="E547" s="148"/>
      <c r="F547" s="149"/>
      <c r="G547" s="150"/>
      <c r="H547" s="151"/>
      <c r="I547" s="152"/>
      <c r="J547" s="153"/>
      <c r="K547" s="149"/>
      <c r="L547" s="153"/>
      <c r="M547" s="82"/>
      <c r="N547" s="82"/>
    </row>
    <row r="548">
      <c r="A548" s="144"/>
      <c r="B548" s="145"/>
      <c r="C548" s="146"/>
      <c r="D548" s="147"/>
      <c r="E548" s="148"/>
      <c r="F548" s="149"/>
      <c r="G548" s="150"/>
      <c r="H548" s="151"/>
      <c r="I548" s="152"/>
      <c r="J548" s="153"/>
      <c r="K548" s="149"/>
      <c r="L548" s="153"/>
      <c r="M548" s="82"/>
      <c r="N548" s="82"/>
    </row>
    <row r="549">
      <c r="A549" s="144"/>
      <c r="B549" s="145"/>
      <c r="C549" s="146"/>
      <c r="D549" s="147"/>
      <c r="E549" s="148"/>
      <c r="F549" s="149"/>
      <c r="G549" s="150"/>
      <c r="H549" s="151"/>
      <c r="I549" s="152"/>
      <c r="J549" s="153"/>
      <c r="K549" s="149"/>
      <c r="L549" s="153"/>
      <c r="M549" s="82"/>
      <c r="N549" s="82"/>
    </row>
    <row r="550">
      <c r="A550" s="144"/>
      <c r="B550" s="145"/>
      <c r="C550" s="146"/>
      <c r="D550" s="147"/>
      <c r="E550" s="148"/>
      <c r="F550" s="149"/>
      <c r="G550" s="150"/>
      <c r="H550" s="151"/>
      <c r="I550" s="152"/>
      <c r="J550" s="153"/>
      <c r="K550" s="149"/>
      <c r="L550" s="153"/>
      <c r="M550" s="82"/>
      <c r="N550" s="82"/>
    </row>
    <row r="551">
      <c r="A551" s="144"/>
      <c r="B551" s="145"/>
      <c r="C551" s="146"/>
      <c r="D551" s="147"/>
      <c r="E551" s="148"/>
      <c r="F551" s="149"/>
      <c r="G551" s="150"/>
      <c r="H551" s="151"/>
      <c r="I551" s="152"/>
      <c r="J551" s="153"/>
      <c r="K551" s="149"/>
      <c r="L551" s="153"/>
      <c r="M551" s="82"/>
      <c r="N551" s="82"/>
    </row>
    <row r="552">
      <c r="A552" s="144"/>
      <c r="B552" s="145"/>
      <c r="C552" s="146"/>
      <c r="D552" s="147"/>
      <c r="E552" s="148"/>
      <c r="F552" s="149"/>
      <c r="G552" s="150"/>
      <c r="H552" s="151"/>
      <c r="I552" s="152"/>
      <c r="J552" s="153"/>
      <c r="K552" s="149"/>
      <c r="L552" s="153"/>
      <c r="M552" s="82"/>
      <c r="N552" s="82"/>
    </row>
    <row r="553">
      <c r="A553" s="144"/>
      <c r="B553" s="145"/>
      <c r="C553" s="146"/>
      <c r="D553" s="147"/>
      <c r="E553" s="148"/>
      <c r="F553" s="149"/>
      <c r="G553" s="150"/>
      <c r="H553" s="151"/>
      <c r="I553" s="152"/>
      <c r="J553" s="153"/>
      <c r="K553" s="149"/>
      <c r="L553" s="153"/>
      <c r="M553" s="82"/>
      <c r="N553" s="82"/>
    </row>
    <row r="554">
      <c r="A554" s="144"/>
      <c r="B554" s="145"/>
      <c r="C554" s="146"/>
      <c r="D554" s="147"/>
      <c r="E554" s="148"/>
      <c r="F554" s="149"/>
      <c r="G554" s="150"/>
      <c r="H554" s="151"/>
      <c r="I554" s="152"/>
      <c r="J554" s="153"/>
      <c r="K554" s="149"/>
      <c r="L554" s="153"/>
      <c r="M554" s="82"/>
      <c r="N554" s="82"/>
    </row>
    <row r="555">
      <c r="A555" s="144"/>
      <c r="B555" s="145"/>
      <c r="C555" s="146"/>
      <c r="D555" s="147"/>
      <c r="E555" s="148"/>
      <c r="F555" s="149"/>
      <c r="G555" s="150"/>
      <c r="H555" s="151"/>
      <c r="I555" s="152"/>
      <c r="J555" s="153"/>
      <c r="K555" s="149"/>
      <c r="L555" s="153"/>
      <c r="M555" s="82"/>
      <c r="N555" s="82"/>
    </row>
    <row r="556">
      <c r="A556" s="144"/>
      <c r="B556" s="145"/>
      <c r="C556" s="146"/>
      <c r="D556" s="147"/>
      <c r="E556" s="148"/>
      <c r="F556" s="149"/>
      <c r="G556" s="150"/>
      <c r="H556" s="151"/>
      <c r="I556" s="152"/>
      <c r="J556" s="153"/>
      <c r="K556" s="149"/>
      <c r="L556" s="153"/>
      <c r="M556" s="82"/>
      <c r="N556" s="82"/>
    </row>
    <row r="557">
      <c r="A557" s="144"/>
      <c r="B557" s="145"/>
      <c r="C557" s="146"/>
      <c r="D557" s="147"/>
      <c r="E557" s="148"/>
      <c r="F557" s="149"/>
      <c r="G557" s="150"/>
      <c r="H557" s="151"/>
      <c r="I557" s="152"/>
      <c r="J557" s="153"/>
      <c r="K557" s="149"/>
      <c r="L557" s="153"/>
      <c r="M557" s="82"/>
      <c r="N557" s="82"/>
    </row>
    <row r="558">
      <c r="A558" s="144"/>
      <c r="B558" s="145"/>
      <c r="C558" s="146"/>
      <c r="D558" s="147"/>
      <c r="E558" s="148"/>
      <c r="F558" s="149"/>
      <c r="G558" s="150"/>
      <c r="H558" s="151"/>
      <c r="I558" s="152"/>
      <c r="J558" s="153"/>
      <c r="K558" s="149"/>
      <c r="L558" s="153"/>
      <c r="M558" s="82"/>
      <c r="N558" s="82"/>
    </row>
    <row r="559">
      <c r="A559" s="144"/>
      <c r="B559" s="145"/>
      <c r="C559" s="146"/>
      <c r="D559" s="147"/>
      <c r="E559" s="148"/>
      <c r="F559" s="149"/>
      <c r="G559" s="150"/>
      <c r="H559" s="151"/>
      <c r="I559" s="152"/>
      <c r="J559" s="153"/>
      <c r="K559" s="149"/>
      <c r="L559" s="153"/>
      <c r="M559" s="82"/>
      <c r="N559" s="82"/>
    </row>
    <row r="560">
      <c r="A560" s="144"/>
      <c r="B560" s="145"/>
      <c r="C560" s="146"/>
      <c r="D560" s="147"/>
      <c r="E560" s="148"/>
      <c r="F560" s="149"/>
      <c r="G560" s="150"/>
      <c r="H560" s="151"/>
      <c r="I560" s="152"/>
      <c r="J560" s="153"/>
      <c r="K560" s="149"/>
      <c r="L560" s="153"/>
      <c r="M560" s="82"/>
      <c r="N560" s="82"/>
    </row>
    <row r="561">
      <c r="A561" s="144"/>
      <c r="B561" s="145"/>
      <c r="C561" s="146"/>
      <c r="D561" s="147"/>
      <c r="E561" s="148"/>
      <c r="F561" s="149"/>
      <c r="G561" s="150"/>
      <c r="H561" s="151"/>
      <c r="I561" s="152"/>
      <c r="J561" s="153"/>
      <c r="K561" s="149"/>
      <c r="L561" s="153"/>
      <c r="M561" s="82"/>
      <c r="N561" s="82"/>
    </row>
    <row r="562">
      <c r="A562" s="144"/>
      <c r="B562" s="145"/>
      <c r="C562" s="146"/>
      <c r="D562" s="147"/>
      <c r="E562" s="148"/>
      <c r="F562" s="149"/>
      <c r="G562" s="150"/>
      <c r="H562" s="151"/>
      <c r="I562" s="152"/>
      <c r="J562" s="153"/>
      <c r="K562" s="149"/>
      <c r="L562" s="153"/>
      <c r="M562" s="82"/>
      <c r="N562" s="82"/>
    </row>
    <row r="563">
      <c r="A563" s="144"/>
      <c r="B563" s="145"/>
      <c r="C563" s="146"/>
      <c r="D563" s="147"/>
      <c r="E563" s="148"/>
      <c r="F563" s="149"/>
      <c r="G563" s="150"/>
      <c r="H563" s="151"/>
      <c r="I563" s="152"/>
      <c r="J563" s="153"/>
      <c r="K563" s="149"/>
      <c r="L563" s="153"/>
      <c r="M563" s="82"/>
      <c r="N563" s="82"/>
    </row>
    <row r="564">
      <c r="A564" s="144"/>
      <c r="B564" s="145"/>
      <c r="C564" s="146"/>
      <c r="D564" s="147"/>
      <c r="E564" s="148"/>
      <c r="F564" s="149"/>
      <c r="G564" s="150"/>
      <c r="H564" s="151"/>
      <c r="I564" s="152"/>
      <c r="J564" s="153"/>
      <c r="K564" s="149"/>
      <c r="L564" s="153"/>
      <c r="M564" s="82"/>
      <c r="N564" s="82"/>
    </row>
    <row r="565">
      <c r="A565" s="144"/>
      <c r="B565" s="145"/>
      <c r="C565" s="146"/>
      <c r="D565" s="147"/>
      <c r="E565" s="148"/>
      <c r="F565" s="149"/>
      <c r="G565" s="150"/>
      <c r="H565" s="151"/>
      <c r="I565" s="152"/>
      <c r="J565" s="153"/>
      <c r="K565" s="149"/>
      <c r="L565" s="153"/>
      <c r="M565" s="82"/>
      <c r="N565" s="82"/>
    </row>
    <row r="566">
      <c r="A566" s="144"/>
      <c r="B566" s="145"/>
      <c r="C566" s="146"/>
      <c r="D566" s="147"/>
      <c r="E566" s="148"/>
      <c r="F566" s="149"/>
      <c r="G566" s="150"/>
      <c r="H566" s="151"/>
      <c r="I566" s="152"/>
      <c r="J566" s="153"/>
      <c r="K566" s="149"/>
      <c r="L566" s="153"/>
      <c r="M566" s="82"/>
      <c r="N566" s="82"/>
    </row>
    <row r="567">
      <c r="A567" s="144"/>
      <c r="B567" s="145"/>
      <c r="C567" s="146"/>
      <c r="D567" s="147"/>
      <c r="E567" s="148"/>
      <c r="F567" s="149"/>
      <c r="G567" s="150"/>
      <c r="H567" s="151"/>
      <c r="I567" s="152"/>
      <c r="J567" s="153"/>
      <c r="K567" s="149"/>
      <c r="L567" s="153"/>
      <c r="M567" s="82"/>
      <c r="N567" s="82"/>
    </row>
    <row r="568">
      <c r="A568" s="144"/>
      <c r="B568" s="145"/>
      <c r="C568" s="146"/>
      <c r="D568" s="147"/>
      <c r="E568" s="148"/>
      <c r="F568" s="149"/>
      <c r="G568" s="150"/>
      <c r="H568" s="151"/>
      <c r="I568" s="152"/>
      <c r="J568" s="153"/>
      <c r="K568" s="149"/>
      <c r="L568" s="153"/>
      <c r="M568" s="82"/>
      <c r="N568" s="82"/>
    </row>
    <row r="569">
      <c r="A569" s="144"/>
      <c r="B569" s="145"/>
      <c r="C569" s="146"/>
      <c r="D569" s="147"/>
      <c r="E569" s="148"/>
      <c r="F569" s="149"/>
      <c r="G569" s="150"/>
      <c r="H569" s="151"/>
      <c r="I569" s="152"/>
      <c r="J569" s="153"/>
      <c r="K569" s="149"/>
      <c r="L569" s="153"/>
      <c r="M569" s="82"/>
      <c r="N569" s="82"/>
    </row>
    <row r="570">
      <c r="A570" s="144"/>
      <c r="B570" s="145"/>
      <c r="C570" s="146"/>
      <c r="D570" s="147"/>
      <c r="E570" s="148"/>
      <c r="F570" s="149"/>
      <c r="G570" s="150"/>
      <c r="H570" s="151"/>
      <c r="I570" s="152"/>
      <c r="J570" s="153"/>
      <c r="K570" s="149"/>
      <c r="L570" s="153"/>
      <c r="M570" s="82"/>
      <c r="N570" s="82"/>
    </row>
    <row r="571">
      <c r="A571" s="144"/>
      <c r="B571" s="145"/>
      <c r="C571" s="146"/>
      <c r="D571" s="147"/>
      <c r="E571" s="148"/>
      <c r="F571" s="149"/>
      <c r="G571" s="150"/>
      <c r="H571" s="151"/>
      <c r="I571" s="152"/>
      <c r="J571" s="153"/>
      <c r="K571" s="149"/>
      <c r="L571" s="153"/>
      <c r="M571" s="82"/>
      <c r="N571" s="82"/>
    </row>
    <row r="572">
      <c r="A572" s="144"/>
      <c r="B572" s="145"/>
      <c r="C572" s="146"/>
      <c r="D572" s="147"/>
      <c r="E572" s="148"/>
      <c r="F572" s="149"/>
      <c r="G572" s="150"/>
      <c r="H572" s="151"/>
      <c r="I572" s="152"/>
      <c r="J572" s="153"/>
      <c r="K572" s="149"/>
      <c r="L572" s="153"/>
      <c r="M572" s="82"/>
      <c r="N572" s="82"/>
    </row>
    <row r="573">
      <c r="A573" s="144"/>
      <c r="B573" s="145"/>
      <c r="C573" s="146"/>
      <c r="D573" s="147"/>
      <c r="E573" s="148"/>
      <c r="F573" s="149"/>
      <c r="G573" s="150"/>
      <c r="H573" s="151"/>
      <c r="I573" s="152"/>
      <c r="J573" s="153"/>
      <c r="K573" s="149"/>
      <c r="L573" s="153"/>
      <c r="M573" s="82"/>
      <c r="N573" s="82"/>
    </row>
    <row r="574">
      <c r="A574" s="144"/>
      <c r="B574" s="145"/>
      <c r="C574" s="146"/>
      <c r="D574" s="147"/>
      <c r="E574" s="148"/>
      <c r="F574" s="149"/>
      <c r="G574" s="150"/>
      <c r="H574" s="151"/>
      <c r="I574" s="152"/>
      <c r="J574" s="153"/>
      <c r="K574" s="149"/>
      <c r="L574" s="153"/>
      <c r="M574" s="82"/>
      <c r="N574" s="82"/>
    </row>
    <row r="575">
      <c r="A575" s="144"/>
      <c r="B575" s="145"/>
      <c r="C575" s="146"/>
      <c r="D575" s="147"/>
      <c r="E575" s="148"/>
      <c r="F575" s="149"/>
      <c r="G575" s="150"/>
      <c r="H575" s="151"/>
      <c r="I575" s="152"/>
      <c r="J575" s="153"/>
      <c r="K575" s="149"/>
      <c r="L575" s="153"/>
      <c r="M575" s="82"/>
      <c r="N575" s="82"/>
    </row>
    <row r="576">
      <c r="A576" s="144"/>
      <c r="B576" s="145"/>
      <c r="C576" s="146"/>
      <c r="D576" s="147"/>
      <c r="E576" s="148"/>
      <c r="F576" s="149"/>
      <c r="G576" s="150"/>
      <c r="H576" s="151"/>
      <c r="I576" s="152"/>
      <c r="J576" s="153"/>
      <c r="K576" s="149"/>
      <c r="L576" s="153"/>
      <c r="M576" s="82"/>
      <c r="N576" s="82"/>
    </row>
    <row r="577">
      <c r="A577" s="144"/>
      <c r="B577" s="145"/>
      <c r="C577" s="146"/>
      <c r="D577" s="147"/>
      <c r="E577" s="148"/>
      <c r="F577" s="149"/>
      <c r="G577" s="150"/>
      <c r="H577" s="151"/>
      <c r="I577" s="152"/>
      <c r="J577" s="153"/>
      <c r="K577" s="149"/>
      <c r="L577" s="153"/>
      <c r="M577" s="82"/>
      <c r="N577" s="82"/>
    </row>
    <row r="578">
      <c r="A578" s="144"/>
      <c r="B578" s="145"/>
      <c r="C578" s="146"/>
      <c r="D578" s="147"/>
      <c r="E578" s="148"/>
      <c r="F578" s="149"/>
      <c r="G578" s="150"/>
      <c r="H578" s="151"/>
      <c r="I578" s="152"/>
      <c r="J578" s="153"/>
      <c r="K578" s="149"/>
      <c r="L578" s="153"/>
      <c r="M578" s="82"/>
      <c r="N578" s="82"/>
    </row>
    <row r="579">
      <c r="A579" s="144"/>
      <c r="B579" s="145"/>
      <c r="C579" s="146"/>
      <c r="D579" s="147"/>
      <c r="E579" s="148"/>
      <c r="F579" s="149"/>
      <c r="G579" s="150"/>
      <c r="H579" s="151"/>
      <c r="I579" s="152"/>
      <c r="J579" s="153"/>
      <c r="K579" s="149"/>
      <c r="L579" s="153"/>
      <c r="M579" s="82"/>
      <c r="N579" s="82"/>
    </row>
    <row r="580">
      <c r="A580" s="144"/>
      <c r="B580" s="145"/>
      <c r="C580" s="146"/>
      <c r="D580" s="147"/>
      <c r="E580" s="148"/>
      <c r="F580" s="149"/>
      <c r="G580" s="150"/>
      <c r="H580" s="151"/>
      <c r="I580" s="152"/>
      <c r="J580" s="153"/>
      <c r="K580" s="149"/>
      <c r="L580" s="153"/>
      <c r="M580" s="82"/>
      <c r="N580" s="82"/>
    </row>
    <row r="581">
      <c r="A581" s="144"/>
      <c r="B581" s="145"/>
      <c r="C581" s="146"/>
      <c r="D581" s="147"/>
      <c r="E581" s="148"/>
      <c r="F581" s="149"/>
      <c r="G581" s="150"/>
      <c r="H581" s="151"/>
      <c r="I581" s="152"/>
      <c r="J581" s="153"/>
      <c r="K581" s="149"/>
      <c r="L581" s="153"/>
      <c r="M581" s="82"/>
      <c r="N581" s="82"/>
    </row>
    <row r="582">
      <c r="A582" s="144"/>
      <c r="B582" s="145"/>
      <c r="C582" s="146"/>
      <c r="D582" s="147"/>
      <c r="E582" s="148"/>
      <c r="F582" s="149"/>
      <c r="G582" s="150"/>
      <c r="H582" s="151"/>
      <c r="I582" s="152"/>
      <c r="J582" s="153"/>
      <c r="K582" s="149"/>
      <c r="L582" s="153"/>
      <c r="M582" s="82"/>
      <c r="N582" s="82"/>
    </row>
    <row r="583">
      <c r="A583" s="144"/>
      <c r="B583" s="145"/>
      <c r="C583" s="146"/>
      <c r="D583" s="147"/>
      <c r="E583" s="148"/>
      <c r="F583" s="149"/>
      <c r="G583" s="150"/>
      <c r="H583" s="151"/>
      <c r="I583" s="152"/>
      <c r="J583" s="153"/>
      <c r="K583" s="149"/>
      <c r="L583" s="153"/>
      <c r="M583" s="82"/>
      <c r="N583" s="82"/>
    </row>
    <row r="584">
      <c r="A584" s="144"/>
      <c r="B584" s="145"/>
      <c r="C584" s="146"/>
      <c r="D584" s="147"/>
      <c r="E584" s="148"/>
      <c r="F584" s="149"/>
      <c r="G584" s="150"/>
      <c r="H584" s="151"/>
      <c r="I584" s="152"/>
      <c r="J584" s="153"/>
      <c r="K584" s="149"/>
      <c r="L584" s="153"/>
      <c r="M584" s="82"/>
      <c r="N584" s="82"/>
    </row>
    <row r="585">
      <c r="A585" s="144"/>
      <c r="B585" s="145"/>
      <c r="C585" s="146"/>
      <c r="D585" s="147"/>
      <c r="E585" s="148"/>
      <c r="F585" s="149"/>
      <c r="G585" s="150"/>
      <c r="H585" s="151"/>
      <c r="I585" s="152"/>
      <c r="J585" s="153"/>
      <c r="K585" s="149"/>
      <c r="L585" s="153"/>
      <c r="M585" s="82"/>
      <c r="N585" s="82"/>
    </row>
    <row r="586">
      <c r="A586" s="144"/>
      <c r="B586" s="145"/>
      <c r="C586" s="146"/>
      <c r="D586" s="147"/>
      <c r="E586" s="148"/>
      <c r="F586" s="149"/>
      <c r="G586" s="150"/>
      <c r="H586" s="151"/>
      <c r="I586" s="152"/>
      <c r="J586" s="153"/>
      <c r="K586" s="149"/>
      <c r="L586" s="153"/>
      <c r="M586" s="82"/>
      <c r="N586" s="82"/>
    </row>
    <row r="587">
      <c r="A587" s="144"/>
      <c r="B587" s="145"/>
      <c r="C587" s="146"/>
      <c r="D587" s="147"/>
      <c r="E587" s="148"/>
      <c r="F587" s="149"/>
      <c r="G587" s="150"/>
      <c r="H587" s="151"/>
      <c r="I587" s="152"/>
      <c r="J587" s="153"/>
      <c r="K587" s="149"/>
      <c r="L587" s="153"/>
      <c r="M587" s="82"/>
      <c r="N587" s="82"/>
    </row>
    <row r="588">
      <c r="A588" s="144"/>
      <c r="B588" s="145"/>
      <c r="C588" s="146"/>
      <c r="D588" s="147"/>
      <c r="E588" s="148"/>
      <c r="F588" s="149"/>
      <c r="G588" s="150"/>
      <c r="H588" s="151"/>
      <c r="I588" s="152"/>
      <c r="J588" s="153"/>
      <c r="K588" s="149"/>
      <c r="L588" s="153"/>
      <c r="M588" s="82"/>
      <c r="N588" s="82"/>
    </row>
    <row r="589">
      <c r="A589" s="144"/>
      <c r="B589" s="145"/>
      <c r="C589" s="146"/>
      <c r="D589" s="147"/>
      <c r="E589" s="148"/>
      <c r="F589" s="149"/>
      <c r="G589" s="150"/>
      <c r="H589" s="151"/>
      <c r="I589" s="152"/>
      <c r="J589" s="153"/>
      <c r="K589" s="149"/>
      <c r="L589" s="153"/>
      <c r="M589" s="82"/>
      <c r="N589" s="82"/>
    </row>
    <row r="590">
      <c r="A590" s="144"/>
      <c r="B590" s="145"/>
      <c r="C590" s="146"/>
      <c r="D590" s="147"/>
      <c r="E590" s="148"/>
      <c r="F590" s="149"/>
      <c r="G590" s="150"/>
      <c r="H590" s="151"/>
      <c r="I590" s="152"/>
      <c r="J590" s="153"/>
      <c r="K590" s="149"/>
      <c r="L590" s="153"/>
      <c r="M590" s="82"/>
      <c r="N590" s="82"/>
    </row>
    <row r="591">
      <c r="A591" s="144"/>
      <c r="B591" s="145"/>
      <c r="C591" s="146"/>
      <c r="D591" s="147"/>
      <c r="E591" s="148"/>
      <c r="F591" s="149"/>
      <c r="G591" s="150"/>
      <c r="H591" s="151"/>
      <c r="I591" s="152"/>
      <c r="J591" s="153"/>
      <c r="K591" s="149"/>
      <c r="L591" s="153"/>
      <c r="M591" s="82"/>
      <c r="N591" s="82"/>
    </row>
    <row r="592">
      <c r="A592" s="144"/>
      <c r="B592" s="145"/>
      <c r="C592" s="146"/>
      <c r="D592" s="147"/>
      <c r="E592" s="148"/>
      <c r="F592" s="149"/>
      <c r="G592" s="150"/>
      <c r="H592" s="151"/>
      <c r="I592" s="152"/>
      <c r="J592" s="153"/>
      <c r="K592" s="149"/>
      <c r="L592" s="153"/>
      <c r="M592" s="82"/>
      <c r="N592" s="82"/>
    </row>
    <row r="593">
      <c r="A593" s="144"/>
      <c r="B593" s="145"/>
      <c r="C593" s="146"/>
      <c r="D593" s="147"/>
      <c r="E593" s="148"/>
      <c r="F593" s="149"/>
      <c r="G593" s="150"/>
      <c r="H593" s="151"/>
      <c r="I593" s="152"/>
      <c r="J593" s="153"/>
      <c r="K593" s="149"/>
      <c r="L593" s="153"/>
      <c r="M593" s="82"/>
      <c r="N593" s="82"/>
    </row>
    <row r="594">
      <c r="A594" s="144"/>
      <c r="B594" s="145"/>
      <c r="C594" s="146"/>
      <c r="D594" s="147"/>
      <c r="E594" s="148"/>
      <c r="F594" s="149"/>
      <c r="G594" s="150"/>
      <c r="H594" s="151"/>
      <c r="I594" s="152"/>
      <c r="J594" s="153"/>
      <c r="K594" s="149"/>
      <c r="L594" s="153"/>
      <c r="M594" s="82"/>
      <c r="N594" s="82"/>
    </row>
    <row r="595">
      <c r="A595" s="144"/>
      <c r="B595" s="145"/>
      <c r="C595" s="146"/>
      <c r="D595" s="147"/>
      <c r="E595" s="148"/>
      <c r="F595" s="149"/>
      <c r="G595" s="150"/>
      <c r="H595" s="151"/>
      <c r="I595" s="152"/>
      <c r="J595" s="153"/>
      <c r="K595" s="149"/>
      <c r="L595" s="153"/>
      <c r="M595" s="82"/>
      <c r="N595" s="82"/>
    </row>
    <row r="596">
      <c r="A596" s="144"/>
      <c r="B596" s="145"/>
      <c r="C596" s="146"/>
      <c r="D596" s="147"/>
      <c r="E596" s="148"/>
      <c r="F596" s="149"/>
      <c r="G596" s="150"/>
      <c r="H596" s="151"/>
      <c r="I596" s="152"/>
      <c r="J596" s="153"/>
      <c r="K596" s="149"/>
      <c r="L596" s="153"/>
      <c r="M596" s="82"/>
      <c r="N596" s="82"/>
    </row>
    <row r="597">
      <c r="A597" s="144"/>
      <c r="B597" s="145"/>
      <c r="C597" s="146"/>
      <c r="D597" s="147"/>
      <c r="E597" s="148"/>
      <c r="F597" s="149"/>
      <c r="G597" s="150"/>
      <c r="H597" s="151"/>
      <c r="I597" s="152"/>
      <c r="J597" s="153"/>
      <c r="K597" s="149"/>
      <c r="L597" s="153"/>
      <c r="M597" s="82"/>
      <c r="N597" s="82"/>
    </row>
    <row r="598">
      <c r="A598" s="144"/>
      <c r="B598" s="145"/>
      <c r="C598" s="146"/>
      <c r="D598" s="147"/>
      <c r="E598" s="148"/>
      <c r="F598" s="149"/>
      <c r="G598" s="150"/>
      <c r="H598" s="151"/>
      <c r="I598" s="152"/>
      <c r="J598" s="153"/>
      <c r="K598" s="149"/>
      <c r="L598" s="153"/>
      <c r="M598" s="82"/>
      <c r="N598" s="82"/>
    </row>
    <row r="599">
      <c r="A599" s="144"/>
      <c r="B599" s="145"/>
      <c r="C599" s="146"/>
      <c r="D599" s="147"/>
      <c r="E599" s="148"/>
      <c r="F599" s="149"/>
      <c r="G599" s="150"/>
      <c r="H599" s="151"/>
      <c r="I599" s="152"/>
      <c r="J599" s="153"/>
      <c r="K599" s="149"/>
      <c r="L599" s="153"/>
      <c r="M599" s="82"/>
      <c r="N599" s="82"/>
    </row>
    <row r="600">
      <c r="A600" s="144"/>
      <c r="B600" s="145"/>
      <c r="C600" s="146"/>
      <c r="D600" s="147"/>
      <c r="E600" s="148"/>
      <c r="F600" s="149"/>
      <c r="G600" s="150"/>
      <c r="H600" s="151"/>
      <c r="I600" s="152"/>
      <c r="J600" s="153"/>
      <c r="K600" s="149"/>
      <c r="L600" s="153"/>
      <c r="M600" s="82"/>
      <c r="N600" s="82"/>
    </row>
    <row r="601">
      <c r="A601" s="144"/>
      <c r="B601" s="145"/>
      <c r="C601" s="146"/>
      <c r="D601" s="147"/>
      <c r="E601" s="148"/>
      <c r="F601" s="149"/>
      <c r="G601" s="150"/>
      <c r="H601" s="151"/>
      <c r="I601" s="152"/>
      <c r="J601" s="153"/>
      <c r="K601" s="149"/>
      <c r="L601" s="153"/>
      <c r="M601" s="82"/>
      <c r="N601" s="82"/>
    </row>
    <row r="602">
      <c r="A602" s="144"/>
      <c r="B602" s="145"/>
      <c r="C602" s="146"/>
      <c r="D602" s="147"/>
      <c r="E602" s="148"/>
      <c r="F602" s="149"/>
      <c r="G602" s="150"/>
      <c r="H602" s="151"/>
      <c r="I602" s="152"/>
      <c r="J602" s="153"/>
      <c r="K602" s="149"/>
      <c r="L602" s="153"/>
      <c r="M602" s="82"/>
      <c r="N602" s="82"/>
    </row>
    <row r="603">
      <c r="A603" s="144"/>
      <c r="B603" s="145"/>
      <c r="C603" s="146"/>
      <c r="D603" s="147"/>
      <c r="E603" s="148"/>
      <c r="F603" s="149"/>
      <c r="G603" s="150"/>
      <c r="H603" s="151"/>
      <c r="I603" s="152"/>
      <c r="J603" s="153"/>
      <c r="K603" s="149"/>
      <c r="L603" s="153"/>
      <c r="M603" s="82"/>
      <c r="N603" s="82"/>
    </row>
    <row r="604">
      <c r="A604" s="144"/>
      <c r="B604" s="145"/>
      <c r="C604" s="146"/>
      <c r="D604" s="147"/>
      <c r="E604" s="148"/>
      <c r="F604" s="149"/>
      <c r="G604" s="150"/>
      <c r="H604" s="151"/>
      <c r="I604" s="152"/>
      <c r="J604" s="153"/>
      <c r="K604" s="149"/>
      <c r="L604" s="153"/>
      <c r="M604" s="82"/>
      <c r="N604" s="82"/>
    </row>
    <row r="605">
      <c r="A605" s="144"/>
      <c r="B605" s="145"/>
      <c r="C605" s="146"/>
      <c r="D605" s="147"/>
      <c r="E605" s="148"/>
      <c r="F605" s="149"/>
      <c r="G605" s="150"/>
      <c r="H605" s="151"/>
      <c r="I605" s="152"/>
      <c r="J605" s="153"/>
      <c r="K605" s="149"/>
      <c r="L605" s="153"/>
      <c r="M605" s="82"/>
      <c r="N605" s="82"/>
    </row>
    <row r="606">
      <c r="A606" s="144"/>
      <c r="B606" s="145"/>
      <c r="C606" s="146"/>
      <c r="D606" s="147"/>
      <c r="E606" s="148"/>
      <c r="F606" s="149"/>
      <c r="G606" s="150"/>
      <c r="H606" s="151"/>
      <c r="I606" s="152"/>
      <c r="J606" s="153"/>
      <c r="K606" s="149"/>
      <c r="L606" s="153"/>
      <c r="M606" s="82"/>
      <c r="N606" s="82"/>
    </row>
    <row r="607">
      <c r="A607" s="144"/>
      <c r="B607" s="145"/>
      <c r="C607" s="146"/>
      <c r="D607" s="147"/>
      <c r="E607" s="148"/>
      <c r="F607" s="149"/>
      <c r="G607" s="150"/>
      <c r="H607" s="151"/>
      <c r="I607" s="152"/>
      <c r="J607" s="153"/>
      <c r="K607" s="149"/>
      <c r="L607" s="153"/>
      <c r="M607" s="82"/>
      <c r="N607" s="82"/>
    </row>
    <row r="608">
      <c r="A608" s="144"/>
      <c r="B608" s="145"/>
      <c r="C608" s="146"/>
      <c r="D608" s="147"/>
      <c r="E608" s="148"/>
      <c r="F608" s="149"/>
      <c r="G608" s="150"/>
      <c r="H608" s="151"/>
      <c r="I608" s="152"/>
      <c r="J608" s="153"/>
      <c r="K608" s="149"/>
      <c r="L608" s="153"/>
      <c r="M608" s="82"/>
      <c r="N608" s="82"/>
    </row>
    <row r="609">
      <c r="A609" s="144"/>
      <c r="B609" s="145"/>
      <c r="C609" s="146"/>
      <c r="D609" s="147"/>
      <c r="E609" s="148"/>
      <c r="F609" s="149"/>
      <c r="G609" s="150"/>
      <c r="H609" s="151"/>
      <c r="I609" s="152"/>
      <c r="J609" s="153"/>
      <c r="K609" s="149"/>
      <c r="L609" s="153"/>
      <c r="M609" s="82"/>
      <c r="N609" s="82"/>
    </row>
    <row r="610">
      <c r="A610" s="144"/>
      <c r="B610" s="145"/>
      <c r="C610" s="146"/>
      <c r="D610" s="147"/>
      <c r="E610" s="148"/>
      <c r="F610" s="149"/>
      <c r="G610" s="150"/>
      <c r="H610" s="151"/>
      <c r="I610" s="152"/>
      <c r="J610" s="153"/>
      <c r="K610" s="149"/>
      <c r="L610" s="153"/>
      <c r="M610" s="82"/>
      <c r="N610" s="82"/>
    </row>
    <row r="611">
      <c r="A611" s="144"/>
      <c r="B611" s="145"/>
      <c r="C611" s="146"/>
      <c r="D611" s="147"/>
      <c r="E611" s="148"/>
      <c r="F611" s="149"/>
      <c r="G611" s="150"/>
      <c r="H611" s="151"/>
      <c r="I611" s="152"/>
      <c r="J611" s="153"/>
      <c r="K611" s="149"/>
      <c r="L611" s="153"/>
      <c r="M611" s="82"/>
      <c r="N611" s="82"/>
    </row>
    <row r="612">
      <c r="A612" s="144"/>
      <c r="B612" s="145"/>
      <c r="C612" s="146"/>
      <c r="D612" s="147"/>
      <c r="E612" s="148"/>
      <c r="F612" s="149"/>
      <c r="G612" s="150"/>
      <c r="H612" s="151"/>
      <c r="I612" s="152"/>
      <c r="J612" s="153"/>
      <c r="K612" s="149"/>
      <c r="L612" s="153"/>
      <c r="M612" s="82"/>
      <c r="N612" s="82"/>
    </row>
    <row r="613">
      <c r="A613" s="144"/>
      <c r="B613" s="145"/>
      <c r="C613" s="146"/>
      <c r="D613" s="147"/>
      <c r="E613" s="148"/>
      <c r="F613" s="149"/>
      <c r="G613" s="150"/>
      <c r="H613" s="151"/>
      <c r="I613" s="152"/>
      <c r="J613" s="153"/>
      <c r="K613" s="149"/>
      <c r="L613" s="153"/>
      <c r="M613" s="82"/>
      <c r="N613" s="82"/>
    </row>
    <row r="614">
      <c r="A614" s="144"/>
      <c r="B614" s="145"/>
      <c r="C614" s="146"/>
      <c r="D614" s="147"/>
      <c r="E614" s="148"/>
      <c r="F614" s="149"/>
      <c r="G614" s="150"/>
      <c r="H614" s="151"/>
      <c r="I614" s="152"/>
      <c r="J614" s="153"/>
      <c r="K614" s="149"/>
      <c r="L614" s="153"/>
      <c r="M614" s="82"/>
      <c r="N614" s="82"/>
    </row>
    <row r="615">
      <c r="A615" s="144"/>
      <c r="B615" s="145"/>
      <c r="C615" s="146"/>
      <c r="D615" s="147"/>
      <c r="E615" s="148"/>
      <c r="F615" s="149"/>
      <c r="G615" s="150"/>
      <c r="H615" s="151"/>
      <c r="I615" s="152"/>
      <c r="J615" s="153"/>
      <c r="K615" s="149"/>
      <c r="L615" s="153"/>
      <c r="M615" s="82"/>
      <c r="N615" s="82"/>
    </row>
    <row r="616">
      <c r="A616" s="144"/>
      <c r="B616" s="145"/>
      <c r="C616" s="146"/>
      <c r="D616" s="147"/>
      <c r="E616" s="148"/>
      <c r="F616" s="149"/>
      <c r="G616" s="150"/>
      <c r="H616" s="151"/>
      <c r="I616" s="152"/>
      <c r="J616" s="153"/>
      <c r="K616" s="149"/>
      <c r="L616" s="153"/>
      <c r="M616" s="82"/>
      <c r="N616" s="82"/>
    </row>
    <row r="617">
      <c r="A617" s="144"/>
      <c r="B617" s="145"/>
      <c r="C617" s="146"/>
      <c r="D617" s="147"/>
      <c r="E617" s="148"/>
      <c r="F617" s="149"/>
      <c r="G617" s="150"/>
      <c r="H617" s="151"/>
      <c r="I617" s="152"/>
      <c r="J617" s="153"/>
      <c r="K617" s="149"/>
      <c r="L617" s="153"/>
      <c r="M617" s="82"/>
      <c r="N617" s="82"/>
    </row>
    <row r="618">
      <c r="A618" s="144"/>
      <c r="B618" s="145"/>
      <c r="C618" s="146"/>
      <c r="D618" s="147"/>
      <c r="E618" s="148"/>
      <c r="F618" s="149"/>
      <c r="G618" s="150"/>
      <c r="H618" s="151"/>
      <c r="I618" s="152"/>
      <c r="J618" s="153"/>
      <c r="K618" s="149"/>
      <c r="L618" s="153"/>
      <c r="M618" s="82"/>
      <c r="N618" s="82"/>
    </row>
    <row r="619">
      <c r="A619" s="144"/>
      <c r="B619" s="145"/>
      <c r="C619" s="146"/>
      <c r="D619" s="147"/>
      <c r="E619" s="148"/>
      <c r="F619" s="149"/>
      <c r="G619" s="150"/>
      <c r="H619" s="151"/>
      <c r="I619" s="152"/>
      <c r="J619" s="153"/>
      <c r="K619" s="149"/>
      <c r="L619" s="153"/>
      <c r="M619" s="82"/>
      <c r="N619" s="82"/>
    </row>
    <row r="620">
      <c r="A620" s="144"/>
      <c r="B620" s="145"/>
      <c r="C620" s="146"/>
      <c r="D620" s="147"/>
      <c r="E620" s="148"/>
      <c r="F620" s="149"/>
      <c r="G620" s="150"/>
      <c r="H620" s="151"/>
      <c r="I620" s="152"/>
      <c r="J620" s="153"/>
      <c r="K620" s="149"/>
      <c r="L620" s="153"/>
      <c r="M620" s="82"/>
      <c r="N620" s="82"/>
    </row>
    <row r="621">
      <c r="A621" s="144"/>
      <c r="B621" s="145"/>
      <c r="C621" s="146"/>
      <c r="D621" s="147"/>
      <c r="E621" s="148"/>
      <c r="F621" s="149"/>
      <c r="G621" s="150"/>
      <c r="H621" s="151"/>
      <c r="I621" s="152"/>
      <c r="J621" s="153"/>
      <c r="K621" s="149"/>
      <c r="L621" s="153"/>
      <c r="M621" s="82"/>
      <c r="N621" s="82"/>
    </row>
    <row r="622">
      <c r="A622" s="144"/>
      <c r="B622" s="145"/>
      <c r="C622" s="146"/>
      <c r="D622" s="147"/>
      <c r="E622" s="148"/>
      <c r="F622" s="149"/>
      <c r="G622" s="150"/>
      <c r="H622" s="151"/>
      <c r="I622" s="152"/>
      <c r="J622" s="153"/>
      <c r="K622" s="149"/>
      <c r="L622" s="153"/>
      <c r="M622" s="82"/>
      <c r="N622" s="82"/>
    </row>
    <row r="623">
      <c r="A623" s="144"/>
      <c r="B623" s="145"/>
      <c r="C623" s="146"/>
      <c r="D623" s="147"/>
      <c r="E623" s="148"/>
      <c r="F623" s="149"/>
      <c r="G623" s="150"/>
      <c r="H623" s="151"/>
      <c r="I623" s="152"/>
      <c r="J623" s="153"/>
      <c r="K623" s="149"/>
      <c r="L623" s="153"/>
      <c r="M623" s="82"/>
      <c r="N623" s="82"/>
    </row>
    <row r="624">
      <c r="A624" s="144"/>
      <c r="B624" s="145"/>
      <c r="C624" s="146"/>
      <c r="D624" s="147"/>
      <c r="E624" s="148"/>
      <c r="F624" s="149"/>
      <c r="G624" s="150"/>
      <c r="H624" s="151"/>
      <c r="I624" s="152"/>
      <c r="J624" s="153"/>
      <c r="K624" s="149"/>
      <c r="L624" s="153"/>
      <c r="M624" s="82"/>
      <c r="N624" s="82"/>
    </row>
    <row r="625">
      <c r="A625" s="144"/>
      <c r="B625" s="145"/>
      <c r="C625" s="146"/>
      <c r="D625" s="147"/>
      <c r="E625" s="148"/>
      <c r="F625" s="149"/>
      <c r="G625" s="150"/>
      <c r="H625" s="151"/>
      <c r="I625" s="152"/>
      <c r="J625" s="153"/>
      <c r="K625" s="149"/>
      <c r="L625" s="153"/>
      <c r="M625" s="82"/>
      <c r="N625" s="82"/>
    </row>
    <row r="626">
      <c r="A626" s="144"/>
      <c r="B626" s="145"/>
      <c r="C626" s="146"/>
      <c r="D626" s="147"/>
      <c r="E626" s="148"/>
      <c r="F626" s="149"/>
      <c r="G626" s="150"/>
      <c r="H626" s="151"/>
      <c r="I626" s="152"/>
      <c r="J626" s="153"/>
      <c r="K626" s="149"/>
      <c r="L626" s="153"/>
      <c r="M626" s="82"/>
      <c r="N626" s="82"/>
    </row>
    <row r="627">
      <c r="A627" s="144"/>
      <c r="B627" s="145"/>
      <c r="C627" s="146"/>
      <c r="D627" s="147"/>
      <c r="E627" s="148"/>
      <c r="F627" s="149"/>
      <c r="G627" s="150"/>
      <c r="H627" s="151"/>
      <c r="I627" s="152"/>
      <c r="J627" s="153"/>
      <c r="K627" s="149"/>
      <c r="L627" s="153"/>
      <c r="M627" s="82"/>
      <c r="N627" s="82"/>
    </row>
    <row r="628">
      <c r="A628" s="144"/>
      <c r="B628" s="145"/>
      <c r="C628" s="146"/>
      <c r="D628" s="147"/>
      <c r="E628" s="148"/>
      <c r="F628" s="149"/>
      <c r="G628" s="150"/>
      <c r="H628" s="151"/>
      <c r="I628" s="152"/>
      <c r="J628" s="153"/>
      <c r="K628" s="149"/>
      <c r="L628" s="153"/>
      <c r="M628" s="82"/>
      <c r="N628" s="82"/>
    </row>
    <row r="629">
      <c r="A629" s="144"/>
      <c r="B629" s="145"/>
      <c r="C629" s="146"/>
      <c r="D629" s="147"/>
      <c r="E629" s="148"/>
      <c r="F629" s="149"/>
      <c r="G629" s="150"/>
      <c r="H629" s="151"/>
      <c r="I629" s="152"/>
      <c r="J629" s="153"/>
      <c r="K629" s="149"/>
      <c r="L629" s="153"/>
      <c r="M629" s="82"/>
      <c r="N629" s="82"/>
    </row>
    <row r="630">
      <c r="A630" s="144"/>
      <c r="B630" s="145"/>
      <c r="C630" s="146"/>
      <c r="D630" s="147"/>
      <c r="E630" s="148"/>
      <c r="F630" s="149"/>
      <c r="G630" s="150"/>
      <c r="H630" s="151"/>
      <c r="I630" s="152"/>
      <c r="J630" s="153"/>
      <c r="K630" s="149"/>
      <c r="L630" s="153"/>
      <c r="M630" s="82"/>
      <c r="N630" s="82"/>
    </row>
    <row r="631">
      <c r="A631" s="144"/>
      <c r="B631" s="145"/>
      <c r="C631" s="146"/>
      <c r="D631" s="147"/>
      <c r="E631" s="148"/>
      <c r="F631" s="149"/>
      <c r="G631" s="150"/>
      <c r="H631" s="151"/>
      <c r="I631" s="152"/>
      <c r="J631" s="153"/>
      <c r="K631" s="149"/>
      <c r="L631" s="153"/>
      <c r="M631" s="82"/>
      <c r="N631" s="82"/>
    </row>
    <row r="632">
      <c r="A632" s="144"/>
      <c r="B632" s="145"/>
      <c r="C632" s="146"/>
      <c r="D632" s="147"/>
      <c r="E632" s="148"/>
      <c r="F632" s="149"/>
      <c r="G632" s="150"/>
      <c r="H632" s="151"/>
      <c r="I632" s="152"/>
      <c r="J632" s="153"/>
      <c r="K632" s="149"/>
      <c r="L632" s="153"/>
      <c r="M632" s="82"/>
      <c r="N632" s="82"/>
    </row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L$432"/>
  <mergeCells count="48">
    <mergeCell ref="C8:D8"/>
    <mergeCell ref="B9:E18"/>
    <mergeCell ref="C26:D26"/>
    <mergeCell ref="B27:E36"/>
    <mergeCell ref="C44:D44"/>
    <mergeCell ref="B45:E54"/>
    <mergeCell ref="C62:D62"/>
    <mergeCell ref="B63:E72"/>
    <mergeCell ref="C80:D80"/>
    <mergeCell ref="B81:E90"/>
    <mergeCell ref="C98:D98"/>
    <mergeCell ref="B99:E108"/>
    <mergeCell ref="C116:D116"/>
    <mergeCell ref="B117:E126"/>
    <mergeCell ref="C134:D134"/>
    <mergeCell ref="B135:E144"/>
    <mergeCell ref="C152:D152"/>
    <mergeCell ref="B153:E162"/>
    <mergeCell ref="C170:D170"/>
    <mergeCell ref="B171:E180"/>
    <mergeCell ref="C188:D188"/>
    <mergeCell ref="B189:E198"/>
    <mergeCell ref="C206:D206"/>
    <mergeCell ref="B207:E216"/>
    <mergeCell ref="C224:D224"/>
    <mergeCell ref="B225:E234"/>
    <mergeCell ref="C242:D242"/>
    <mergeCell ref="B243:E252"/>
    <mergeCell ref="C260:D260"/>
    <mergeCell ref="B261:E270"/>
    <mergeCell ref="C278:D278"/>
    <mergeCell ref="B279:E288"/>
    <mergeCell ref="C296:D296"/>
    <mergeCell ref="B297:E306"/>
    <mergeCell ref="C314:D314"/>
    <mergeCell ref="C386:D386"/>
    <mergeCell ref="B387:E396"/>
    <mergeCell ref="C404:D404"/>
    <mergeCell ref="B405:E414"/>
    <mergeCell ref="C422:D422"/>
    <mergeCell ref="B423:E432"/>
    <mergeCell ref="B315:E324"/>
    <mergeCell ref="C332:D332"/>
    <mergeCell ref="B333:E342"/>
    <mergeCell ref="C350:D350"/>
    <mergeCell ref="B351:E360"/>
    <mergeCell ref="C368:D368"/>
    <mergeCell ref="B369:E378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hidden="1" min="1" max="1" width="6.88"/>
    <col customWidth="1" hidden="1" min="2" max="2" width="11.13"/>
    <col customWidth="1" hidden="1" min="3" max="3" width="11.5"/>
    <col customWidth="1" min="4" max="4" width="8.0"/>
    <col customWidth="1" min="5" max="6" width="12.0"/>
    <col customWidth="1" min="7" max="7" width="12.38"/>
    <col customWidth="1" min="8" max="8" width="10.38"/>
    <col customWidth="1" min="9" max="9" width="7.63"/>
    <col customWidth="1" min="10" max="10" width="8.38"/>
    <col customWidth="1" min="11" max="11" width="11.63"/>
    <col customWidth="1" hidden="1" min="12" max="12" width="12.0"/>
    <col customWidth="1" hidden="1" min="13" max="13" width="11.75"/>
  </cols>
  <sheetData>
    <row r="1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59" t="s">
        <v>8</v>
      </c>
      <c r="J1" s="59" t="s">
        <v>9</v>
      </c>
      <c r="K1" s="59" t="s">
        <v>10</v>
      </c>
      <c r="L1" s="59" t="s">
        <v>11</v>
      </c>
      <c r="M1" s="59" t="s">
        <v>12</v>
      </c>
    </row>
  </sheetData>
  <autoFilter ref="$A$1:$M$1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hidden="1" min="1" max="1" width="6.88"/>
    <col customWidth="1" hidden="1" min="2" max="2" width="11.13"/>
    <col customWidth="1" hidden="1" min="3" max="3" width="11.5"/>
    <col customWidth="1" min="4" max="4" width="8.0"/>
    <col customWidth="1" min="5" max="6" width="12.0"/>
    <col customWidth="1" min="7" max="7" width="12.38"/>
    <col customWidth="1" min="8" max="8" width="9.5"/>
    <col customWidth="1" min="9" max="9" width="7.38"/>
    <col customWidth="1" min="10" max="10" width="11.63"/>
    <col customWidth="1" min="11" max="11" width="8.38"/>
    <col customWidth="1" hidden="1" min="12" max="12" width="12.0"/>
    <col customWidth="1" hidden="1" min="13" max="13" width="11.75"/>
  </cols>
  <sheetData>
    <row r="1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599</v>
      </c>
      <c r="I1" s="59" t="s">
        <v>600</v>
      </c>
      <c r="J1" s="59" t="s">
        <v>10</v>
      </c>
      <c r="K1" s="59" t="s">
        <v>9</v>
      </c>
      <c r="L1" s="59" t="s">
        <v>11</v>
      </c>
      <c r="M1" s="59" t="s">
        <v>12</v>
      </c>
    </row>
  </sheetData>
  <autoFilter ref="$A$1:$M$1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hidden="1" min="1" max="1" width="6.88"/>
    <col customWidth="1" hidden="1" min="2" max="2" width="11.13"/>
    <col customWidth="1" hidden="1" min="3" max="3" width="11.5"/>
    <col customWidth="1" min="4" max="4" width="8.0"/>
    <col customWidth="1" min="5" max="6" width="12.0"/>
    <col customWidth="1" min="7" max="7" width="12.38"/>
    <col customWidth="1" min="8" max="8" width="10.25"/>
    <col customWidth="1" min="9" max="9" width="11.63"/>
    <col customWidth="1" min="10" max="10" width="8.38"/>
    <col customWidth="1" min="11" max="11" width="12.63"/>
    <col customWidth="1" min="12" max="12" width="12.25"/>
    <col customWidth="1" hidden="1" min="13" max="13" width="12.0"/>
    <col customWidth="1" hidden="1" min="14" max="14" width="11.75"/>
  </cols>
  <sheetData>
    <row r="1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804</v>
      </c>
      <c r="I1" s="59" t="s">
        <v>10</v>
      </c>
      <c r="J1" s="59" t="s">
        <v>9</v>
      </c>
      <c r="K1" s="59" t="s">
        <v>805</v>
      </c>
      <c r="L1" s="59" t="s">
        <v>806</v>
      </c>
      <c r="M1" s="59" t="s">
        <v>11</v>
      </c>
      <c r="N1" s="59" t="s">
        <v>12</v>
      </c>
    </row>
  </sheetData>
  <autoFilter ref="$A$1:$N$1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hidden="1" min="1" max="1" width="6.88"/>
    <col customWidth="1" hidden="1" min="2" max="2" width="11.13"/>
    <col customWidth="1" hidden="1" min="3" max="3" width="11.5"/>
    <col customWidth="1" min="4" max="4" width="8.0"/>
    <col customWidth="1" min="5" max="6" width="12.0"/>
    <col customWidth="1" min="7" max="7" width="12.38"/>
    <col customWidth="1" min="8" max="8" width="8.0"/>
    <col customWidth="1" min="9" max="9" width="7.38"/>
    <col customWidth="1" min="10" max="10" width="11.88"/>
    <col customWidth="1" min="11" max="11" width="11.63"/>
    <col customWidth="1" hidden="1" min="12" max="12" width="12.0"/>
    <col customWidth="1" hidden="1" min="13" max="14" width="11.75"/>
  </cols>
  <sheetData>
    <row r="1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607</v>
      </c>
      <c r="I1" s="59" t="s">
        <v>889</v>
      </c>
      <c r="J1" s="59" t="s">
        <v>890</v>
      </c>
      <c r="K1" s="59" t="s">
        <v>10</v>
      </c>
      <c r="L1" s="59" t="s">
        <v>11</v>
      </c>
      <c r="M1" s="59" t="s">
        <v>12</v>
      </c>
      <c r="N1" s="59" t="s">
        <v>12</v>
      </c>
    </row>
  </sheetData>
  <autoFilter ref="$A$1:$N$1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hidden="1" min="1" max="1" width="6.88"/>
    <col customWidth="1" min="2" max="2" width="8.0"/>
    <col customWidth="1" min="3" max="4" width="12.0"/>
    <col customWidth="1" min="5" max="5" width="12.38"/>
    <col customWidth="1" min="6" max="7" width="10.38"/>
    <col customWidth="1" min="8" max="8" width="7.63"/>
    <col customWidth="1" min="9" max="9" width="8.38"/>
    <col customWidth="1" min="10" max="10" width="11.63"/>
    <col customWidth="1" hidden="1" min="11" max="11" width="11.75"/>
    <col customWidth="1" hidden="1" min="12" max="12" width="11.88"/>
    <col customWidth="1" hidden="1" min="13" max="13" width="12.63"/>
  </cols>
  <sheetData>
    <row r="1">
      <c r="A1" s="59" t="s">
        <v>0</v>
      </c>
      <c r="B1" s="59" t="s">
        <v>3</v>
      </c>
      <c r="C1" s="59" t="s">
        <v>4</v>
      </c>
      <c r="D1" s="59" t="s">
        <v>5</v>
      </c>
      <c r="E1" s="59" t="s">
        <v>6</v>
      </c>
      <c r="F1" s="59" t="s">
        <v>13</v>
      </c>
      <c r="G1" s="59" t="s">
        <v>7</v>
      </c>
      <c r="H1" s="59" t="s">
        <v>8</v>
      </c>
      <c r="I1" s="59" t="s">
        <v>9</v>
      </c>
      <c r="J1" s="59" t="s">
        <v>10</v>
      </c>
      <c r="K1" s="59" t="s">
        <v>12</v>
      </c>
      <c r="L1" s="59" t="s">
        <v>143</v>
      </c>
      <c r="M1" s="59" t="s">
        <v>144</v>
      </c>
    </row>
  </sheetData>
  <autoFilter ref="$A$1:$M$1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hidden="1" min="1" max="1" width="6.88"/>
    <col customWidth="1" min="2" max="2" width="8.0"/>
    <col customWidth="1" min="3" max="4" width="12.0"/>
    <col customWidth="1" min="5" max="5" width="12.38"/>
    <col customWidth="1" min="6" max="6" width="10.38"/>
    <col customWidth="1" min="7" max="7" width="9.5"/>
    <col customWidth="1" min="8" max="8" width="7.38"/>
    <col customWidth="1" min="9" max="9" width="11.63"/>
    <col customWidth="1" min="10" max="10" width="8.38"/>
    <col customWidth="1" hidden="1" min="11" max="11" width="11.75"/>
    <col customWidth="1" hidden="1" min="12" max="12" width="11.88"/>
    <col customWidth="1" hidden="1" min="13" max="13" width="12.63"/>
  </cols>
  <sheetData>
    <row r="1">
      <c r="A1" s="59" t="s">
        <v>0</v>
      </c>
      <c r="B1" s="59" t="s">
        <v>3</v>
      </c>
      <c r="C1" s="59" t="s">
        <v>4</v>
      </c>
      <c r="D1" s="59" t="s">
        <v>5</v>
      </c>
      <c r="E1" s="59" t="s">
        <v>6</v>
      </c>
      <c r="F1" s="59" t="s">
        <v>13</v>
      </c>
      <c r="G1" s="59" t="s">
        <v>599</v>
      </c>
      <c r="H1" s="59" t="s">
        <v>600</v>
      </c>
      <c r="I1" s="59" t="s">
        <v>10</v>
      </c>
      <c r="J1" s="59" t="s">
        <v>9</v>
      </c>
      <c r="K1" s="59" t="s">
        <v>12</v>
      </c>
      <c r="L1" s="59" t="s">
        <v>143</v>
      </c>
      <c r="M1" s="59" t="s">
        <v>144</v>
      </c>
    </row>
  </sheetData>
  <autoFilter ref="$A$1:$M$1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hidden="1" min="1" max="1" width="6.88"/>
    <col customWidth="1" min="2" max="2" width="8.0"/>
    <col customWidth="1" min="3" max="4" width="12.0"/>
    <col customWidth="1" min="5" max="5" width="12.38"/>
    <col customWidth="1" min="6" max="6" width="10.38"/>
    <col customWidth="1" min="7" max="7" width="10.25"/>
    <col customWidth="1" min="8" max="8" width="11.63"/>
    <col customWidth="1" min="9" max="9" width="8.38"/>
    <col customWidth="1" min="10" max="10" width="12.63"/>
    <col customWidth="1" min="11" max="11" width="12.25"/>
    <col customWidth="1" hidden="1" min="12" max="12" width="11.75"/>
    <col customWidth="1" hidden="1" min="13" max="13" width="11.88"/>
    <col customWidth="1" hidden="1" min="14" max="14" width="12.63"/>
  </cols>
  <sheetData>
    <row r="1">
      <c r="A1" s="59" t="s">
        <v>0</v>
      </c>
      <c r="B1" s="59" t="s">
        <v>3</v>
      </c>
      <c r="C1" s="59" t="s">
        <v>4</v>
      </c>
      <c r="D1" s="59" t="s">
        <v>5</v>
      </c>
      <c r="E1" s="59" t="s">
        <v>6</v>
      </c>
      <c r="F1" s="59" t="s">
        <v>13</v>
      </c>
      <c r="G1" s="59" t="s">
        <v>804</v>
      </c>
      <c r="H1" s="59" t="s">
        <v>10</v>
      </c>
      <c r="I1" s="59" t="s">
        <v>9</v>
      </c>
      <c r="J1" s="59" t="s">
        <v>805</v>
      </c>
      <c r="K1" s="59" t="s">
        <v>806</v>
      </c>
      <c r="L1" s="59" t="s">
        <v>12</v>
      </c>
      <c r="M1" s="59" t="s">
        <v>143</v>
      </c>
      <c r="N1" s="59" t="s">
        <v>144</v>
      </c>
    </row>
  </sheetData>
  <autoFilter ref="$A$1:$N$1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hidden="1" min="1" max="1" width="6.88"/>
    <col customWidth="1" min="2" max="2" width="8.0"/>
    <col customWidth="1" min="3" max="4" width="12.0"/>
    <col customWidth="1" min="5" max="5" width="12.38"/>
    <col customWidth="1" min="6" max="6" width="12.13"/>
    <col customWidth="1" min="7" max="7" width="11.88"/>
    <col customWidth="1" min="8" max="8" width="7.38"/>
    <col customWidth="1" min="9" max="10" width="8.38"/>
    <col customWidth="1" min="11" max="11" width="10.5"/>
    <col customWidth="1" min="12" max="12" width="11.63"/>
    <col customWidth="1" min="13" max="13" width="11.88"/>
    <col customWidth="1" hidden="1" min="14" max="14" width="11.75"/>
    <col customWidth="1" hidden="1" min="15" max="15" width="11.88"/>
    <col customWidth="1" hidden="1" min="16" max="16" width="12.63"/>
  </cols>
  <sheetData>
    <row r="1">
      <c r="A1" s="59" t="s">
        <v>0</v>
      </c>
      <c r="B1" s="59" t="s">
        <v>3</v>
      </c>
      <c r="C1" s="59" t="s">
        <v>4</v>
      </c>
      <c r="D1" s="59" t="s">
        <v>5</v>
      </c>
      <c r="E1" s="59" t="s">
        <v>6</v>
      </c>
      <c r="F1" s="59" t="s">
        <v>888</v>
      </c>
      <c r="G1" s="59" t="s">
        <v>1750</v>
      </c>
      <c r="H1" s="59" t="s">
        <v>889</v>
      </c>
      <c r="I1" s="59" t="s">
        <v>891</v>
      </c>
      <c r="J1" s="59" t="s">
        <v>9</v>
      </c>
      <c r="K1" s="59" t="s">
        <v>892</v>
      </c>
      <c r="L1" s="59" t="s">
        <v>10</v>
      </c>
      <c r="M1" s="59" t="s">
        <v>890</v>
      </c>
      <c r="N1" s="59" t="s">
        <v>12</v>
      </c>
      <c r="O1" s="59" t="s">
        <v>143</v>
      </c>
      <c r="P1" s="59" t="s">
        <v>144</v>
      </c>
    </row>
  </sheetData>
  <autoFilter ref="$A$1:$P$1"/>
  <drawing r:id="rId1"/>
</worksheet>
</file>